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nfiguration guide" sheetId="2" state="visible" r:id="rId4"/>
    <sheet name="Fields" sheetId="3" state="visible" r:id="rId5"/>
    <sheet name="Lists" sheetId="4" state="visible" r:id="rId6"/>
    <sheet name="Payers" sheetId="5" state="visible" r:id="rId7"/>
    <sheet name="BillingEntities" sheetId="6" state="visible" r:id="rId8"/>
    <sheet name="ServiceCodes" sheetId="7" state="visible" r:id="rId9"/>
    <sheet name="Trends" sheetId="8" state="visible" r:id="rId10"/>
    <sheet name="Observed lines" sheetId="9" state="visible" r:id="rId11"/>
    <sheet name="Learning rules" sheetId="10" state="visible" r:id="rId12"/>
    <sheet name="Validation rules" sheetId="11" state="visible" r:id="rId13"/>
    <sheet name="Workflow" sheetId="12" state="visible" r:id="rId14"/>
    <sheet name="Roles &amp; permissions" sheetId="13" state="visible" r:id="rId15"/>
    <sheet name="Data model" sheetId="14" state="visible" r:id="rId16"/>
    <sheet name="API" sheetId="15" state="visible" r:id="rId17"/>
    <sheet name="Backlog" sheetId="16" state="visible" r:id="rId18"/>
    <sheet name="Open questions" sheetId="17" state="visible" r:id="rId19"/>
    <sheet name="Guide changes" sheetId="18" state="visible" r:id="rId20"/>
  </sheets>
  <definedNames>
    <definedName function="false" hidden="true" localSheetId="14" name="_xlnm._FilterDatabase" vbProcedure="false">API!$A$1:$G$41</definedName>
    <definedName function="false" hidden="true" localSheetId="15" name="_xlnm._FilterDatabase" vbProcedure="false">Backlog!$A$1:$G$62</definedName>
    <definedName function="false" hidden="true" localSheetId="5" name="_xlnm._FilterDatabase" vbProcedure="false">BillingEntities!$A$1:$V$25</definedName>
    <definedName function="false" hidden="true" localSheetId="1" name="_xlnm._FilterDatabase" vbProcedure="false">'Configuration guide'!$A$1:$H$27</definedName>
    <definedName function="false" hidden="true" localSheetId="13" name="_xlnm._FilterDatabase" vbProcedure="false">'Data model'!$A$1:$E$196</definedName>
    <definedName function="false" hidden="true" localSheetId="2" name="_xlnm._FilterDatabase" vbProcedure="false">Fields!$A$1:$X$105</definedName>
    <definedName function="false" hidden="true" localSheetId="17" name="_xlnm._FilterDatabase" vbProcedure="false">'Guide changes'!$A$1:$F$45</definedName>
    <definedName function="false" hidden="true" localSheetId="9" name="_xlnm._FilterDatabase" vbProcedure="false">'Learning rules'!$A$1:$E$20</definedName>
    <definedName function="false" hidden="true" localSheetId="3" name="_xlnm._FilterDatabase" vbProcedure="false">Lists!$A$1:$K$642</definedName>
    <definedName function="false" hidden="true" localSheetId="8" name="_xlnm._FilterDatabase" vbProcedure="false">'Observed lines'!$A$1:$N$36</definedName>
    <definedName function="false" hidden="true" localSheetId="16" name="_xlnm._FilterDatabase" vbProcedure="false">'Open questions'!$A$1:$F$32</definedName>
    <definedName function="false" hidden="true" localSheetId="4" name="_xlnm._FilterDatabase" vbProcedure="false">Payers!$A$1:$M$125</definedName>
    <definedName function="false" hidden="true" localSheetId="12" name="_xlnm._FilterDatabase" vbProcedure="false">'Roles &amp; permissions'!$A$1:$H$27</definedName>
    <definedName function="false" hidden="true" localSheetId="6" name="_xlnm._FilterDatabase" vbProcedure="false">ServiceCodes!$A$1:$I$374</definedName>
    <definedName function="false" hidden="true" localSheetId="7" name="_xlnm._FilterDatabase" vbProcedure="false">Trends!$A$1:$G$40</definedName>
    <definedName function="false" hidden="true" localSheetId="10" name="_xlnm._FilterDatabase" vbProcedure="false">'Validation rules'!$A$1:$G$85</definedName>
    <definedName function="false" hidden="true" localSheetId="11" name="_xlnm._FilterDatabase" vbProcedure="false">Workflow!$A$1:$H$35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<sst xmlns="http://schemas.openxmlformats.org/spreadsheetml/2006/main" count="10698" uniqueCount="3019">
  <si>
    <t xml:space="preserve">IDR Prep Studio v4 – Build Spec</t>
  </si>
  <si>
    <t xml:space="preserve">Version</t>
  </si>
  <si>
    <t xml:space="preserve">4.0</t>
  </si>
  <si>
    <t xml:space="preserve">Date</t>
  </si>
  <si>
    <t xml:space="preserve">2026-10-26</t>
  </si>
  <si>
    <t xml:space="preserve">Audience</t>
  </si>
  <si>
    <t xml:space="preserve">IT and software development, and the Studio admins (sheet "Configuration guide").</t>
  </si>
  <si>
    <t xml:space="preserve">Purpose</t>
  </si>
  <si>
    <t xml:space="preserve">Build spec for IDR Prep Studio v4. v4 moves configuration and access into the Sheet: every list on Options (with Key, Sort, Strict), a Fields tab merged into the schema, a Users tab with roles checked on the server, a BillingEntities tab, RCM Specialist (was Owner), and upload before saving.</t>
  </si>
  <si>
    <t xml:space="preserve">Reference</t>
  </si>
  <si>
    <t xml:space="preserve">This workbook matches the finished v4 code (idr-prep-studio/Code.gs and README.md). Field rows, Options and BillingEntities seed rows and tab columns are dumped from Code.gs by dump_code.js. Where spec-studio-v4.md and the code differ, the code wins.</t>
  </si>
  <si>
    <t xml:space="preserve">Source (portal rules)</t>
  </si>
  <si>
    <t xml:space="preserve">"IDR Gateway Notice of IDR Initiation User Guide, Version 15.0, October 14, 2026". Portal labels, option texts, format rules and messages are quoted from that guide. Sheet "Guide changes" maps each guide section to the Studio.</t>
  </si>
  <si>
    <t xml:space="preserve">Other sources</t>
  </si>
  <si>
    <t xml:space="preserve">spec-studio-v4.md (on top of v3 and v2). Seed lists from the business: 24 billing entities, 124 non-initiating parties (payers), 373 service codes. Trends and Observed lines: the 4 real notices used for v2 (DISP-7984427, DISP-7986216, DISP-7997846, DISP-7998956).</t>
  </si>
  <si>
    <t xml:space="preserve">Fixed business facts</t>
  </si>
  <si>
    <t xml:space="preserve">1. We always initiate (provider or facility); plan/issuer paths are not built. 2. q_acting_as is "Health care provider" or "Health care facility" only. 3. Location of service is always TX (Fixed + Locked on the Fields tab).</t>
  </si>
  <si>
    <t xml:space="preserve">Timing count</t>
  </si>
  <si>
    <t xml:space="preserve">The ON start date is business day 1; b counts both days. Day 30 ends open negotiation; days 31–34 are the window; after 34 an extension reason is needed. Before day 31 a dispute can go to the US desk ("Not open yet"); Start portal entry and Mark as filed wait.</t>
  </si>
  <si>
    <t xml:space="preserve">Roles</t>
  </si>
  <si>
    <t xml:space="preserve">Admin, LB Member (Lebanon preparers), US Member (US desk). Only active rows on the Users tab can open the app; every server function checks the role. See "Roles &amp; permissions".</t>
  </si>
  <si>
    <t xml:space="preserve">Configuration</t>
  </si>
  <si>
    <t xml:space="preserve">Admins change lists, fields, settings, users and billing entities in the app (Admin screens) or on the tabs. See "Configuration guide" for which tab and column to edit.</t>
  </si>
  <si>
    <t xml:space="preserve">Not the CMS portal</t>
  </si>
  <si>
    <t xml:space="preserve">The Studio never connects to the federal IDR portal or the IDR Gateway. The US desk copies values by hand. Keep the "not the CMS portal" banner.</t>
  </si>
  <si>
    <t xml:space="preserve">IDR Gateway dates</t>
  </si>
  <si>
    <t xml:space="preserve">Settings GatewayFrom (2026-11-13) and GatewayBannerUntil (2027-01-15). Every US Member needs an IDR Gateway account joined to our organization.</t>
  </si>
  <si>
    <t xml:space="preserve">PHI rule</t>
  </si>
  <si>
    <t xml:space="preserve">No claim numbers, dates of service or account numbers. File names are shown as patterns, for example "EOB &lt;account&gt;.pdf". Business data is allowed: payer names, addresses and IDR emails, our billing entities, TIN, NPI, IDR entity names, service codes and descriptions. Demo data is synthetic (claim numbers like DEMO70101).</t>
  </si>
  <si>
    <t xml:space="preserve">Out of scope</t>
  </si>
  <si>
    <t xml:space="preserve">"Notice of IDR Initiation – Resubmission" form; plan-side questions; air ambulance.</t>
  </si>
  <si>
    <t xml:space="preserve">How to use</t>
  </si>
  <si>
    <t xml:space="preserve">1. Configuration guide: for admins, which tab and column to edit for each change.</t>
  </si>
  <si>
    <t xml:space="preserve">2. Fields: every field as the Fields tab seeds it, with portal page, guide label, rules and notes. Rows marked "In Fields tab? No" are Studio-only (US desk tracking, derived or display).</t>
  </si>
  <si>
    <t xml:space="preserve">3. Lists (Options seed, 637 rows), Payers, BillingEntities (tab seed) and ServiceCodes hold the seed data.</t>
  </si>
  <si>
    <t xml:space="preserve">4. Validation rules, Workflow, Roles &amp; permissions and Learning rules are the requirements. Cite the IDs.</t>
  </si>
  <si>
    <t xml:space="preserve">5. Data model (all tabs and columns, Settings keys) and API (server functions) describe the build.</t>
  </si>
  <si>
    <t xml:space="preserve">6. Backlog, Open questions and Guide changes. Trends and Observed lines show the 4 v2 notices.</t>
  </si>
  <si>
    <t xml:space="preserve">Formulas</t>
  </si>
  <si>
    <t xml:space="preserve">ServiceCodes (Times seen, QPA min and max) and Trends (Share) use formulas over Observed lines.</t>
  </si>
  <si>
    <t xml:space="preserve">Version legend</t>
  </si>
  <si>
    <t xml:space="preserve">v2, v3, v4 = the version that added the item; "(changed)" = changed in that version; Removed = dropped; Not built = shown by the portal but never applies to us.</t>
  </si>
  <si>
    <t xml:space="preserve">Dispute statuses</t>
  </si>
  <si>
    <t xml:space="preserve">Draft, Ready for US desk, Returned, Filed. IDRE selection is tracked in idre_final and idre_status. Ready disputes before business day 31 are grouped under "Not open yet".</t>
  </si>
  <si>
    <t xml:space="preserve">Orange cells</t>
  </si>
  <si>
    <t xml:space="preserve">A flag: a data-quality finding, a guess to confirm, or a value that needs a business answer.</t>
  </si>
  <si>
    <t xml:space="preserve">Grey rows</t>
  </si>
  <si>
    <t xml:space="preserve">Not built, Removed, Studio-only or answered rows.</t>
  </si>
  <si>
    <t xml:space="preserve">Sheets</t>
  </si>
  <si>
    <t xml:space="preserve">README, Configuration guide, Fields, Lists, Payers, BillingEntities, ServiceCodes, Trends, Observed lines, Learning rules, Validation rules, Workflow, Roles &amp; permissions, Data model, API, Backlog, Open questions, Guide changes.</t>
  </si>
  <si>
    <t xml:space="preserve">Area</t>
  </si>
  <si>
    <t xml:space="preserve">Change you want</t>
  </si>
  <si>
    <t xml:space="preserve">Where in the app</t>
  </si>
  <si>
    <t xml:space="preserve">Tab</t>
  </si>
  <si>
    <t xml:space="preserve">Column(s)</t>
  </si>
  <si>
    <t xml:space="preserve">How</t>
  </si>
  <si>
    <t xml:space="preserve">Takes effect</t>
  </si>
  <si>
    <t xml:space="preserve">Notes / limits</t>
  </si>
  <si>
    <t xml:space="preserve">People</t>
  </si>
  <si>
    <t xml:space="preserve">Add a member, or give access</t>
  </si>
  <si>
    <t xml:space="preserve">Admin -&gt; Users</t>
  </si>
  <si>
    <t xml:space="preserve">Users</t>
  </si>
  <si>
    <t xml:space="preserve">Email, Name, Role, Team, Active</t>
  </si>
  <si>
    <t xml:space="preserve">Add a row (Active Yes). Role: Admin, LB Member or US Member.</t>
  </si>
  <si>
    <t xml:space="preserve">Within 2 minutes</t>
  </si>
  <si>
    <t xml:space="preserve">Never delete a row.</t>
  </si>
  <si>
    <t xml:space="preserve">Change a role or team</t>
  </si>
  <si>
    <t xml:space="preserve">Role, Team</t>
  </si>
  <si>
    <t xml:space="preserve">Edit the row.</t>
  </si>
  <si>
    <t xml:space="preserve">The last active Admin cannot be demoted.</t>
  </si>
  <si>
    <t xml:space="preserve">Remove access</t>
  </si>
  <si>
    <t xml:space="preserve">Active</t>
  </si>
  <si>
    <t xml:space="preserve">Set Active to No.</t>
  </si>
  <si>
    <t xml:space="preserve">Rows are never deleted (history).</t>
  </si>
  <si>
    <t xml:space="preserve">Lists</t>
  </si>
  <si>
    <t xml:space="preserve">Add a payer or IDR entity, or fix its contact</t>
  </si>
  <si>
    <t xml:space="preserve">Admin -&gt; Lists (or let users learn it)</t>
  </si>
  <si>
    <t xml:space="preserve">Options</t>
  </si>
  <si>
    <t xml:space="preserve">List, Value, Data (JSON for payer address, email, phone, fax)</t>
  </si>
  <si>
    <t xml:space="preserve">Add or edit a row; Status Active.</t>
  </si>
  <si>
    <t xml:space="preserve">Within 10 minutes (or at once from the app)</t>
  </si>
  <si>
    <t xml:space="preserve">Payer names must use the portal name characters.</t>
  </si>
  <si>
    <t xml:space="preserve">Hide a value, or merge a duplicate</t>
  </si>
  <si>
    <t xml:space="preserve">Admin -&gt; Lists</t>
  </si>
  <si>
    <t xml:space="preserve">Status / merge</t>
  </si>
  <si>
    <t xml:space="preserve">Hide, or merge the learned value into the right one.</t>
  </si>
  <si>
    <t xml:space="preserve">At once</t>
  </si>
  <si>
    <t xml:space="preserve">Hidden values are never suggested.</t>
  </si>
  <si>
    <t xml:space="preserve">CMS rewords a portal option</t>
  </si>
  <si>
    <t xml:space="preserve">Value (keep Key)</t>
  </si>
  <si>
    <t xml:space="preserve">Reword the Value. Never change the Key.</t>
  </si>
  <si>
    <t xml:space="preserve">Strict lists: HealthPlanType, PlanRole, ActingAs, ExtensionReason, ItemType, DisputeType, LineType, YesNo, BundledPayment, NipMethod, IdreStatus.</t>
  </si>
  <si>
    <t xml:space="preserve">Change the order of a portal list</t>
  </si>
  <si>
    <t xml:space="preserve">Sort</t>
  </si>
  <si>
    <t xml:space="preserve">Set Sort numbers.</t>
  </si>
  <si>
    <t xml:space="preserve">Add a service code description</t>
  </si>
  <si>
    <t xml:space="preserve">Admin -&gt; Lists (or first save)</t>
  </si>
  <si>
    <t xml:space="preserve">Label (ServiceCode)</t>
  </si>
  <si>
    <t xml:space="preserve">Type the description.</t>
  </si>
  <si>
    <t xml:space="preserve">Code must be 5 letters or digits.</t>
  </si>
  <si>
    <t xml:space="preserve">Add next year's holidays (each December)</t>
  </si>
  <si>
    <t xml:space="preserve">Sheet</t>
  </si>
  <si>
    <t xml:space="preserve">List Holiday, Value YYYY-MM-DD, Label</t>
  </si>
  <si>
    <t xml:space="preserve">Add one row per federal holiday.</t>
  </si>
  <si>
    <t xml:space="preserve">Within 10 minutes</t>
  </si>
  <si>
    <t xml:space="preserve">The timing rules use them.</t>
  </si>
  <si>
    <t xml:space="preserve">Add a modifier, POS code or return reason</t>
  </si>
  <si>
    <t xml:space="preserve">Admin -&gt; Lists (or learned)</t>
  </si>
  <si>
    <t xml:space="preserve">List, Value, Label</t>
  </si>
  <si>
    <t xml:space="preserve">Add a row.</t>
  </si>
  <si>
    <t xml:space="preserve">Billing entities</t>
  </si>
  <si>
    <t xml:space="preserve">Add or complete a billing entity</t>
  </si>
  <si>
    <t xml:space="preserve">Admin -&gt; Billing entities</t>
  </si>
  <si>
    <t xml:space="preserve">BillingEntities</t>
  </si>
  <si>
    <t xml:space="preserve">Name, ActingAs, TIN, NPI, GroupName, Addr1, City, State, ZIP, Email, Phone, Fax</t>
  </si>
  <si>
    <t xml:space="preserve">Fill the columns; set Confirmed Yes once checked.</t>
  </si>
  <si>
    <t xml:space="preserve">Checks: TIN 9, NPI 10, ZIP, phone, email, portal characters.</t>
  </si>
  <si>
    <t xml:space="preserve">Rename or record an old spelling</t>
  </si>
  <si>
    <t xml:space="preserve">Name, Aliases</t>
  </si>
  <si>
    <t xml:space="preserve">Rename (the old name goes into Aliases) or add to Aliases (semicolon list).</t>
  </si>
  <si>
    <t xml:space="preserve">Hide an entity</t>
  </si>
  <si>
    <t xml:space="preserve">Status</t>
  </si>
  <si>
    <t xml:space="preserve">Hidden.</t>
  </si>
  <si>
    <t xml:space="preserve">Fields</t>
  </si>
  <si>
    <t xml:space="preserve">Change a label or help text</t>
  </si>
  <si>
    <t xml:space="preserve">Admin -&gt; Settings &amp; fields</t>
  </si>
  <si>
    <t xml:space="preserve">Label, Help</t>
  </si>
  <si>
    <t xml:space="preserve">Within 10 minutes (at once from the app)</t>
  </si>
  <si>
    <t xml:space="preserve">Keep the portal wording for portal fields.</t>
  </si>
  <si>
    <t xml:space="preserve">Make a field required or optional</t>
  </si>
  <si>
    <t xml:space="preserve">Required</t>
  </si>
  <si>
    <t xml:space="preserve">Yes or No.</t>
  </si>
  <si>
    <t xml:space="preserve">Rule fields (portal logic) cannot be changed.</t>
  </si>
  <si>
    <t xml:space="preserve">Change a default</t>
  </si>
  <si>
    <t xml:space="preserve">Default, DefaultMode</t>
  </si>
  <si>
    <t xml:space="preserve">Fixed = always Default; Learned = most used recent value, else Default; None. Tokens @top, @me, @myteam.</t>
  </si>
  <si>
    <t xml:space="preserve">A default must be an option of its list.</t>
  </si>
  <si>
    <t xml:space="preserve">Lock or hide a field, or change the order</t>
  </si>
  <si>
    <t xml:space="preserve">Locked, Visible, Order</t>
  </si>
  <si>
    <t xml:space="preserve">A required field cannot be hidden.</t>
  </si>
  <si>
    <t xml:space="preserve">Change a format check or the copy order</t>
  </si>
  <si>
    <t xml:space="preserve">Pattern, PatternMessage, CopyOrder</t>
  </si>
  <si>
    <t xml:space="preserve">Edit the row (regex for Pattern).</t>
  </si>
  <si>
    <t xml:space="preserve">An invalid pattern is ignored with a warning.</t>
  </si>
  <si>
    <t xml:space="preserve">Settings</t>
  </si>
  <si>
    <t xml:space="preserve">Learning on or off</t>
  </si>
  <si>
    <t xml:space="preserve">LearningMode</t>
  </si>
  <si>
    <t xml:space="preserve">On or Off.</t>
  </si>
  <si>
    <t xml:space="preserve">Off: new values wait as Hidden.</t>
  </si>
  <si>
    <t xml:space="preserve">Learned default sensitivity</t>
  </si>
  <si>
    <t xml:space="preserve">DefaultWindow, DefaultShare</t>
  </si>
  <si>
    <t xml:space="preserve">Numbers (50; 0.8).</t>
  </si>
  <si>
    <t xml:space="preserve">Complex State list</t>
  </si>
  <si>
    <t xml:space="preserve">ComplexStates</t>
  </si>
  <si>
    <t xml:space="preserve">Codes like TX, NM.</t>
  </si>
  <si>
    <t xml:space="preserve">Open question: is TX on the list?</t>
  </si>
  <si>
    <t xml:space="preserve">File limits</t>
  </si>
  <si>
    <t xml:space="preserve">MaxFileMb, DisputeMaxMb</t>
  </si>
  <si>
    <t xml:space="preserve">At most 45 and 500.</t>
  </si>
  <si>
    <t xml:space="preserve">Gateway banner and portal timer</t>
  </si>
  <si>
    <t xml:space="preserve">GatewayFrom, GatewayBannerUntil, PortalSessionMinutes, PortalWarnMinutes</t>
  </si>
  <si>
    <t xml:space="preserve">Dates YYYY-MM-DD; minutes.</t>
  </si>
  <si>
    <t xml:space="preserve">Staged upload cleanup</t>
  </si>
  <si>
    <t xml:space="preserve">Admin -&gt; Settings &amp; fields; editor</t>
  </si>
  <si>
    <t xml:space="preserve">StagingDays</t>
  </si>
  <si>
    <t xml:space="preserve">Days (1-90). Run installTriggers once for the daily cleanup.</t>
  </si>
  <si>
    <t xml:space="preserve">Next cleanup</t>
  </si>
  <si>
    <t xml:space="preserve">Do not edit by hand</t>
  </si>
  <si>
    <t xml:space="preserve">Dispute data</t>
  </si>
  <si>
    <t xml:space="preserve">-</t>
  </si>
  <si>
    <t xml:space="preserve">Disputes, LineItems, Files, Log</t>
  </si>
  <si>
    <t xml:space="preserve">Use the app. Never edit Keys, DisputeIDs, FileIds or the Log.</t>
  </si>
  <si>
    <t xml:space="preserve">Edits outside the app skip the checks and the Log.</t>
  </si>
  <si>
    <t xml:space="preserve">After a code update</t>
  </si>
  <si>
    <t xml:space="preserve">New fields or lists</t>
  </si>
  <si>
    <t xml:space="preserve">Editor</t>
  </si>
  <si>
    <t xml:space="preserve">all</t>
  </si>
  <si>
    <t xml:space="preserve">Run setup (safe to run again).</t>
  </si>
  <si>
    <t xml:space="preserve">setup never changes existing Fields rows (Open questions Q29).</t>
  </si>
  <si>
    <t xml:space="preserve">Portal page</t>
  </si>
  <si>
    <t xml:space="preserve">Guide §</t>
  </si>
  <si>
    <t xml:space="preserve">Page (Fields tab)</t>
  </si>
  <si>
    <t xml:space="preserve">Section</t>
  </si>
  <si>
    <t xml:space="preserve">Order</t>
  </si>
  <si>
    <t xml:space="preserve">Key</t>
  </si>
  <si>
    <t xml:space="preserve">Label (Fields tab seed = Code.gs)</t>
  </si>
  <si>
    <t xml:space="preserve">Portal label (guide v15)</t>
  </si>
  <si>
    <t xml:space="preserve">Help</t>
  </si>
  <si>
    <t xml:space="preserve">Type</t>
  </si>
  <si>
    <t xml:space="preserve">List</t>
  </si>
  <si>
    <t xml:space="preserve">Default</t>
  </si>
  <si>
    <t xml:space="preserve">DefaultMode</t>
  </si>
  <si>
    <t xml:space="preserve">Locked</t>
  </si>
  <si>
    <t xml:space="preserve">Visible</t>
  </si>
  <si>
    <t xml:space="preserve">Pattern</t>
  </si>
  <si>
    <t xml:space="preserve">PatternMessage</t>
  </si>
  <si>
    <t xml:space="preserve">CopyOrder</t>
  </si>
  <si>
    <t xml:space="preserve">Validation rule</t>
  </si>
  <si>
    <t xml:space="preserve">Auto-fill from</t>
  </si>
  <si>
    <t xml:space="preserve">Notes</t>
  </si>
  <si>
    <t xml:space="preserve">In Fields tab?</t>
  </si>
  <si>
    <t xml:space="preserve">Dispute header (Studio only)</t>
  </si>
  <si>
    <t xml:space="preserve">internal</t>
  </si>
  <si>
    <t xml:space="preserve">Internal</t>
  </si>
  <si>
    <t xml:space="preserve">Team</t>
  </si>
  <si>
    <t xml:space="preserve">(not on the portal)</t>
  </si>
  <si>
    <t xml:space="preserve">combo</t>
  </si>
  <si>
    <t xml:space="preserve">No</t>
  </si>
  <si>
    <t xml:space="preserve">@myteam</t>
  </si>
  <si>
    <t xml:space="preserve">Fixed</t>
  </si>
  <si>
    <t xml:space="preserve">Yes</t>
  </si>
  <si>
    <t xml:space="preserve">Typo check (V31).</t>
  </si>
  <si>
    <t xml:space="preserve">v4 (changed)</t>
  </si>
  <si>
    <t xml:space="preserve">Learned on save; no seed. v4: searchable box with "Add new" (name characters). Default @myteam = the signed-in user's Team on the Users tab. New values join the Team list on save.</t>
  </si>
  <si>
    <t xml:space="preserve">RcmSpecialist</t>
  </si>
  <si>
    <t xml:space="preserve">RCM Specialist</t>
  </si>
  <si>
    <t xml:space="preserve">@me</t>
  </si>
  <si>
    <t xml:space="preserve">v4: was Owner. Searchable box with "Add new": suggestions = active Users (email or name) + the RcmSpecialist list; a new value must be a valid email and joins the list on save. Default @me = the signed-in LB Member's email.</t>
  </si>
  <si>
    <t xml:space="preserve">1 · Introduction &amp; Qualification Questions</t>
  </si>
  <si>
    <t xml:space="preserve">1.3 (2)</t>
  </si>
  <si>
    <t xml:space="preserve">qual</t>
  </si>
  <si>
    <t xml:space="preserve">q_prior_2022</t>
  </si>
  <si>
    <t xml:space="preserve">Was the service in question provided prior to 1/1/2022?</t>
  </si>
  <si>
    <t xml:space="preserve">*Was the service in question provided prior to 1/1/2022?</t>
  </si>
  <si>
    <t xml:space="preserve">radio</t>
  </si>
  <si>
    <t xml:space="preserve">YesNo</t>
  </si>
  <si>
    <t xml:space="preserve">Learned</t>
  </si>
  <si>
    <t xml:space="preserve">Yes or No. Yes = hard stop with the portal alert (V11).</t>
  </si>
  <si>
    <t xml:space="preserve">v2</t>
  </si>
  <si>
    <t xml:space="preserve">Guide: if the plan renewal date for plan year 2022 is after the date of service, the dispute is not eligible.</t>
  </si>
  <si>
    <t xml:space="preserve">1.3 (3)</t>
  </si>
  <si>
    <t xml:space="preserve">q_acting_as</t>
  </si>
  <si>
    <t xml:space="preserve">I am (or I am acting on behalf of) a:</t>
  </si>
  <si>
    <t xml:space="preserve">*I am (or I am acting on behalf of) a:</t>
  </si>
  <si>
    <t xml:space="preserve">ActingAs</t>
  </si>
  <si>
    <t xml:space="preserve">None</t>
  </si>
  <si>
    <t xml:space="preserve">One of the 2 ActingAs values (V39).</t>
  </si>
  <si>
    <t xml:space="preserve">BillingEntity.acting_as</t>
  </si>
  <si>
    <t xml:space="preserve">v3 (changed)</t>
  </si>
  <si>
    <t xml:space="preserve">Portal shows 6 options; we only use "Health care provider" or "Health care facility" (fixed business fact). Locked chip filled from the billing entity; "guess from the name: check it" chip while BillingEntities Confirmed = No.</t>
  </si>
  <si>
    <t xml:space="preserve">1.3 (4a)</t>
  </si>
  <si>
    <t xml:space="preserve">tin</t>
  </si>
  <si>
    <t xml:space="preserve">Tax ID:</t>
  </si>
  <si>
    <t xml:space="preserve">* Tax ID</t>
  </si>
  <si>
    <t xml:space="preserve">text</t>
  </si>
  <si>
    <t xml:space="preserve">Rule</t>
  </si>
  <si>
    <t xml:space="preserve">^\d{9}$</t>
  </si>
  <si>
    <t xml:space="preserve">must be 9 digits</t>
  </si>
  <si>
    <t xml:space="preserve">^\d{9}$ when filled (V09). At least one of tin / npi (V38).</t>
  </si>
  <si>
    <t xml:space="preserve">BillingEntity.tin</t>
  </si>
  <si>
    <t xml:space="preserve">Required depends on other answers (portal rule in code) Guide: "The initiating party must complete at least one of the two fields." TIN must be nine digits.</t>
  </si>
  <si>
    <t xml:space="preserve">1.3 (4b)</t>
  </si>
  <si>
    <t xml:space="preserve">npi</t>
  </si>
  <si>
    <t xml:space="preserve">National Provider Identifier (NPI):</t>
  </si>
  <si>
    <t xml:space="preserve">* National Provider Identifier (NPI)</t>
  </si>
  <si>
    <t xml:space="preserve">^\d{10}$</t>
  </si>
  <si>
    <t xml:space="preserve">must be 10 digits</t>
  </si>
  <si>
    <t xml:space="preserve">^\d{10}$ when filled (V10). At least one of tin / npi (V38).</t>
  </si>
  <si>
    <t xml:space="preserve">BillingEntity.npi</t>
  </si>
  <si>
    <t xml:space="preserve">Required depends on other answers (portal rule in code) NPI must be ten digits.</t>
  </si>
  <si>
    <t xml:space="preserve">1.3 (5)</t>
  </si>
  <si>
    <t xml:space="preserve">q_plan_type</t>
  </si>
  <si>
    <t xml:space="preserve">Health Plan Type:</t>
  </si>
  <si>
    <t xml:space="preserve">*Health Plan Type</t>
  </si>
  <si>
    <t xml:space="preserve">Not eligible if the member is only enrolled in coverage such as Medicare, Medicaid, CHIP, TRICARE or a health care sharing ministry.</t>
  </si>
  <si>
    <t xml:space="preserve">select</t>
  </si>
  <si>
    <t xml:space="preserve">HealthPlanType</t>
  </si>
  <si>
    <t xml:space="preserve">Either partially or fully self-insured ERISA group health plan</t>
  </si>
  <si>
    <t xml:space="preserve">One of the 7 HealthPlanType values, exact text (V40). Info warning under the field (V41).</t>
  </si>
  <si>
    <t xml:space="preserve">Changed: combo to strict dropdown; no learning of new values. Usage counts still feed the learned default. "No Plan/Issuer Response" only shows to provider initiators (always us).</t>
  </si>
  <si>
    <t xml:space="preserve">1.3 (6)</t>
  </si>
  <si>
    <t xml:space="preserve">fehb_enrollment_code</t>
  </si>
  <si>
    <t xml:space="preserve">Enrollment Code:</t>
  </si>
  <si>
    <t xml:space="preserve">*Enrollment Code</t>
  </si>
  <si>
    <t xml:space="preserve">^\d{3}$</t>
  </si>
  <si>
    <t xml:space="preserve">must be 3 digits</t>
  </si>
  <si>
    <t xml:space="preserve">^\d{3}$; shown and required only when q_plan_type = "Federal Employees Health Benefits (FEHB) carrier" (V42).</t>
  </si>
  <si>
    <t xml:space="preserve">v3</t>
  </si>
  <si>
    <t xml:space="preserve">Required depends on other answers (portal rule in code) Guide: "the three digit *Enrollment Code".</t>
  </si>
  <si>
    <t xml:space="preserve">1.3 (9)</t>
  </si>
  <si>
    <t xml:space="preserve">on_start_date</t>
  </si>
  <si>
    <t xml:space="preserve">When did the open negotiation period start?</t>
  </si>
  <si>
    <t xml:space="preserve">*When did the open negotiation period start?</t>
  </si>
  <si>
    <t xml:space="preserve">date</t>
  </si>
  <si>
    <t xml:space="preserve">YYYY-MM-DD; not in the future (V08). Timing bands: b &lt; 31 = notice on Ready, blocks US desk filing (V43); 31–34 window helper (V14); b &gt; 34 needs extension_reason (V13).</t>
  </si>
  <si>
    <t xml:space="preserve">Batched with several ON dates: enter the ON start date of the first claim in the batch (guide note). b = business days from on_start_date to today, both days counted (the start date is day 1; federal holidays from the Holiday list).</t>
  </si>
  <si>
    <t xml:space="preserve">on_evidence</t>
  </si>
  <si>
    <t xml:space="preserve">Upload evidence of the open negotiation period start date (for example, the notice or notices of open negotiation sent to the non-initiating party).</t>
  </si>
  <si>
    <t xml:space="preserve">(upload) evidence of the open negotiation period start date</t>
  </si>
  <si>
    <t xml:space="preserve">At least one file. In a batch with different open negotiation start dates, enter the first claim’s date above and upload a notice for each start date.</t>
  </si>
  <si>
    <t xml:space="preserve">file</t>
  </si>
  <si>
    <t xml:space="preserve">At least 1 file (V24); one per distinct ON start date in a batch (reminder, V24). Dispute total &lt;= 500 MB (V60).</t>
  </si>
  <si>
    <t xml:space="preserve">Category on_evidence. Example: the notice(s) of open negotiation sent to the non-initiating party. Names seen: "OMB &lt;account&gt;.pdf", "PROOF &lt;account&gt;.png", "&lt;date&gt; LLC NSA NEG LETTER C &lt;account&gt;.pdf". v4: can be attached before the dispute or line is saved (staging).</t>
  </si>
  <si>
    <t xml:space="preserve">1.3 (9b, 9c)</t>
  </si>
  <si>
    <t xml:space="preserve">extension_reason</t>
  </si>
  <si>
    <t xml:space="preserve">Extension justification reason:</t>
  </si>
  <si>
    <t xml:space="preserve">(extension justification reasons, shown when the date is more than 34 business days before today)</t>
  </si>
  <si>
    <t xml:space="preserve">ExtensionReason</t>
  </si>
  <si>
    <t xml:space="preserve">One of the 2 ExtensionReason texts (V13).</t>
  </si>
  <si>
    <t xml:space="preserve">Required depends on other answers (portal rule in code) Without a reason, Ready is blocked ("Deadline passed").</t>
  </si>
  <si>
    <t xml:space="preserve">1.3 (9c i)</t>
  </si>
  <si>
    <t xml:space="preserve">ext_approval</t>
  </si>
  <si>
    <t xml:space="preserve">Upload a copy of the extension approval received from the Federal IDR Questions mailbox.</t>
  </si>
  <si>
    <t xml:space="preserve">(Upload) copy of the extension approval received from the Federal IDR Questions mailbox</t>
  </si>
  <si>
    <t xml:space="preserve">At least 1 file (V44).</t>
  </si>
  <si>
    <t xml:space="preserve">Required depends on other answers (portal rule in code) File category extension. v4: can be attached before the dispute or line is saved (staging).</t>
  </si>
  <si>
    <t xml:space="preserve">1.3 (9c ii)</t>
  </si>
  <si>
    <t xml:space="preserve">cooling_dispute_ref</t>
  </si>
  <si>
    <t xml:space="preserve">Dispute Reference Number:</t>
  </si>
  <si>
    <t xml:space="preserve">Dispute Reference Number</t>
  </si>
  <si>
    <t xml:space="preserve">^DISP-\d+$</t>
  </si>
  <si>
    <t xml:space="preserve">is not valid: use the DISP-XXXXXX format</t>
  </si>
  <si>
    <t xml:space="preserve">^DISP-\d+$ (V45). Portal: "Enter the dispute reference number." when empty.</t>
  </si>
  <si>
    <t xml:space="preserve">Required depends on other answers (portal rule in code) The dispute number that triggered the cooling off period (portal format "DISP-XXXXXX").</t>
  </si>
  <si>
    <t xml:space="preserve">cooling_docs</t>
  </si>
  <si>
    <t xml:space="preserve">Upload a copy of the payment determination(s) that initiated the cooling off period (all of them if cooling off periods overlap).</t>
  </si>
  <si>
    <t xml:space="preserve">(Upload) copy of the payment determination(s) that initiated the cooling off period</t>
  </si>
  <si>
    <t xml:space="preserve">At least 1 file (V46).</t>
  </si>
  <si>
    <t xml:space="preserve">Required depends on other answers (portal rule in code) All determinations if cooling off periods overlap. File category cooling. v4: can be attached before the dispute or line is saved (staging).</t>
  </si>
  <si>
    <t xml:space="preserve">1.3 (10)</t>
  </si>
  <si>
    <t xml:space="preserve">consent_waiver</t>
  </si>
  <si>
    <t xml:space="preserve">Did the health care provider or health care facility get consent from the participant, beneficiary, or enrollee to waive surprise billing protections for these items or services?</t>
  </si>
  <si>
    <t xml:space="preserve">*Did the health care provider or health care facility get consent from the participant, beneficiary, or enrollee to waive surprise billing protections for these items or services?</t>
  </si>
  <si>
    <t xml:space="preserve">Yes or No. Yes = hard stop (V12).</t>
  </si>
  <si>
    <t xml:space="preserve">Label text changed in guide v15 (air ambulance wording dropped).</t>
  </si>
  <si>
    <t xml:space="preserve">2 · Dispute Type</t>
  </si>
  <si>
    <t xml:space="preserve">1.4 (1)</t>
  </si>
  <si>
    <t xml:space="preserve">dtype</t>
  </si>
  <si>
    <t xml:space="preserve">dispute_type</t>
  </si>
  <si>
    <t xml:space="preserve">What are you disputing today?</t>
  </si>
  <si>
    <t xml:space="preserve">*What are you disputing today?</t>
  </si>
  <si>
    <t xml:space="preserve">DisputeType</t>
  </si>
  <si>
    <t xml:space="preserve">A batched dispute</t>
  </si>
  <si>
    <t xml:space="preserve">One of the 2 DisputeType values (V62).</t>
  </si>
  <si>
    <t xml:space="preserve">Portal option texts: "A single dispute. I’m disputing either (a) one service code that represents one item or service, or (b) one service code that represents multiple items or services (a bundled payment arrangement)."; "A batched dispute. I’m disputing multiple items or services related to the treatment of a similar condition.". Default batched (most used, learned).</t>
  </si>
  <si>
    <t xml:space="preserve">1.4 (1a)</t>
  </si>
  <si>
    <t xml:space="preserve">bundled_payment</t>
  </si>
  <si>
    <t xml:space="preserve">Are you disputing a bundled payment arrangement (multiple items or services billed or reimbursed under one service code)?</t>
  </si>
  <si>
    <t xml:space="preserve">BundledPayment</t>
  </si>
  <si>
    <t xml:space="preserve">Yes or No (V62).</t>
  </si>
  <si>
    <t xml:space="preserve">Required depends on other answers (portal rule in code) Shown only when dispute_type = A single dispute.</t>
  </si>
  <si>
    <t xml:space="preserve">1.4 (1b)</t>
  </si>
  <si>
    <t xml:space="preserve">batch_qualifies</t>
  </si>
  <si>
    <t xml:space="preserve">I reviewed the batching questions and this dispute qualifies</t>
  </si>
  <si>
    <t xml:space="preserve">Do your disputes qualify for the batching process? (Studio: "I reviewed the batching questions and this dispute qualifies")</t>
  </si>
  <si>
    <t xml:space="preserve">The portal asks "Do your disputes qualify for the batching process?" in a pop-up. Answer Yes there only when this is ticked.</t>
  </si>
  <si>
    <t xml:space="preserve">check</t>
  </si>
  <si>
    <t xml:space="preserve">Checked (V62).</t>
  </si>
  <si>
    <t xml:space="preserve">Required depends on other answers (portal rule in code) Mirrors the portal pop-up. On the portal: No returns to single dispute; Yes continues.</t>
  </si>
  <si>
    <t xml:space="preserve">3 · Contact Information – Initiating party</t>
  </si>
  <si>
    <t xml:space="preserve">1.5.1 (1a)</t>
  </si>
  <si>
    <t xml:space="preserve">init</t>
  </si>
  <si>
    <t xml:space="preserve">Name and Address Information</t>
  </si>
  <si>
    <t xml:space="preserve">prov_name</t>
  </si>
  <si>
    <t xml:space="preserve">Health care provider name:</t>
  </si>
  <si>
    <t xml:space="preserve">*Health care provider name</t>
  </si>
  <si>
    <t xml:space="preserve">BillingEntity</t>
  </si>
  <si>
    <t xml:space="preserve">Name characters (V58); typo check (V31).</t>
  </si>
  <si>
    <t xml:space="preserve">Billing entity combo at the top of the page: picking it fills q_acting_as, tin, npi, prov_group_name and the contact fields below (L06). Also the signature name. Billing entity: suggestions and auto-fill come from the BillingEntities tab (v4).</t>
  </si>
  <si>
    <t xml:space="preserve">1.5.1 (1b)</t>
  </si>
  <si>
    <t xml:space="preserve">prov_group_name</t>
  </si>
  <si>
    <t xml:space="preserve">Hospital, Health Care Facility or Group Name:</t>
  </si>
  <si>
    <t xml:space="preserve">*Hospital, Health Care Facility or Group Name</t>
  </si>
  <si>
    <t xml:space="preserve">Required (V01); name characters (V58).</t>
  </si>
  <si>
    <t xml:space="preserve">BillingEntity.group_name</t>
  </si>
  <si>
    <t xml:space="preserve">Changed: optional in v2, REQUIRED in v3. Only Capital Health, PLLC has a group name today.</t>
  </si>
  <si>
    <t xml:space="preserve">1.5.1 (1)</t>
  </si>
  <si>
    <t xml:space="preserve">prov_email</t>
  </si>
  <si>
    <t xml:space="preserve">Email:</t>
  </si>
  <si>
    <t xml:space="preserve">*Email</t>
  </si>
  <si>
    <t xml:space="preserve">email</t>
  </si>
  <si>
    <t xml:space="preserve">V04</t>
  </si>
  <si>
    <t xml:space="preserve">BillingEntity.email</t>
  </si>
  <si>
    <t xml:space="preserve">Organization handling the dispute.</t>
  </si>
  <si>
    <t xml:space="preserve">prov_phone</t>
  </si>
  <si>
    <t xml:space="preserve">Phone:</t>
  </si>
  <si>
    <t xml:space="preserve">*Phone</t>
  </si>
  <si>
    <t xml:space="preserve">phone</t>
  </si>
  <si>
    <t xml:space="preserve">V03</t>
  </si>
  <si>
    <t xml:space="preserve">BillingEntity.phone</t>
  </si>
  <si>
    <t xml:space="preserve">prov_fax</t>
  </si>
  <si>
    <t xml:space="preserve">Fax:</t>
  </si>
  <si>
    <t xml:space="preserve">Fax</t>
  </si>
  <si>
    <t xml:space="preserve">BillingEntity.fax</t>
  </si>
  <si>
    <t xml:space="preserve">prov_addr1</t>
  </si>
  <si>
    <t xml:space="preserve">Mailing Address:</t>
  </si>
  <si>
    <t xml:space="preserve">*Mailing Address</t>
  </si>
  <si>
    <t xml:space="preserve">Address characters (V59).</t>
  </si>
  <si>
    <t xml:space="preserve">BillingEntity.addr1</t>
  </si>
  <si>
    <t xml:space="preserve">prov_addr2</t>
  </si>
  <si>
    <t xml:space="preserve">Mailing Address Line 2:</t>
  </si>
  <si>
    <t xml:space="preserve">Mailing Address Line 2 (Studio; not in the guide v15 list)</t>
  </si>
  <si>
    <t xml:space="preserve">BillingEntity.addr2</t>
  </si>
  <si>
    <t xml:space="preserve">Kept from v2 (Code.gs mainContact_). Guide v15 lists one address line (Open questions Q26).</t>
  </si>
  <si>
    <t xml:space="preserve">prov_city</t>
  </si>
  <si>
    <t xml:space="preserve">City:</t>
  </si>
  <si>
    <t xml:space="preserve">*City</t>
  </si>
  <si>
    <t xml:space="preserve">BillingEntity.city</t>
  </si>
  <si>
    <t xml:space="preserve">prov_state</t>
  </si>
  <si>
    <t xml:space="preserve">State:</t>
  </si>
  <si>
    <t xml:space="preserve">*State</t>
  </si>
  <si>
    <t xml:space="preserve">State</t>
  </si>
  <si>
    <t xml:space="preserve">TX</t>
  </si>
  <si>
    <t xml:space="preserve">Strict select from State (V32).</t>
  </si>
  <si>
    <t xml:space="preserve">BillingEntity.state</t>
  </si>
  <si>
    <t xml:space="preserve">Default TX (fixed business fact).</t>
  </si>
  <si>
    <t xml:space="preserve">prov_zip</t>
  </si>
  <si>
    <t xml:space="preserve">ZIP Code:</t>
  </si>
  <si>
    <t xml:space="preserve">*ZIP Code</t>
  </si>
  <si>
    <t xml:space="preserve">zip</t>
  </si>
  <si>
    <t xml:space="preserve">V02</t>
  </si>
  <si>
    <t xml:space="preserve">BillingEntity.zip</t>
  </si>
  <si>
    <t xml:space="preserve">1.5.1 (2)</t>
  </si>
  <si>
    <t xml:space="preserve">Primary point of contact if different from above:</t>
  </si>
  <si>
    <t xml:space="preserve">prov_p1_name</t>
  </si>
  <si>
    <t xml:space="preserve">Primary Contact Name:</t>
  </si>
  <si>
    <t xml:space="preserve">Primary Contact Name</t>
  </si>
  <si>
    <t xml:space="preserve">Name characters (V58). Full contact incl. mailing address required once a name is entered (V64).</t>
  </si>
  <si>
    <t xml:space="preserve">Collapsed by default ("Add point of contact"). Empty on all 4 notices. Studio order: name, email, phone, address (Code.gs pocSection_); the guide lists phone/email in a slightly different order per section.</t>
  </si>
  <si>
    <t xml:space="preserve">prov_p1_email</t>
  </si>
  <si>
    <t xml:space="preserve">Email</t>
  </si>
  <si>
    <t xml:space="preserve">V04 Full contact incl. mailing address required once a name is entered (V64).</t>
  </si>
  <si>
    <t xml:space="preserve">Required depends on other answers (portal rule in code)</t>
  </si>
  <si>
    <t xml:space="preserve">prov_p1_phone</t>
  </si>
  <si>
    <t xml:space="preserve">Phone</t>
  </si>
  <si>
    <t xml:space="preserve">V03 Full contact incl. mailing address required once a name is entered (V64).</t>
  </si>
  <si>
    <t xml:space="preserve">prov_p1_addr1</t>
  </si>
  <si>
    <t xml:space="preserve">Mailing Address</t>
  </si>
  <si>
    <t xml:space="preserve">Full contact incl. mailing address required once a name is entered (V64).</t>
  </si>
  <si>
    <t xml:space="preserve">prov_p1_addr2</t>
  </si>
  <si>
    <t xml:space="preserve">Mailing Address Line 2 (Studio)</t>
  </si>
  <si>
    <t xml:space="preserve">prov_p1_city</t>
  </si>
  <si>
    <t xml:space="preserve">City</t>
  </si>
  <si>
    <t xml:space="preserve">prov_p1_state</t>
  </si>
  <si>
    <t xml:space="preserve">Strict select from State (V32). Full contact incl. mailing address required once a name is entered (V64).</t>
  </si>
  <si>
    <t xml:space="preserve">prov_p1_zip</t>
  </si>
  <si>
    <t xml:space="preserve">ZIP Code</t>
  </si>
  <si>
    <t xml:space="preserve">V02 Full contact incl. mailing address required once a name is entered (V64).</t>
  </si>
  <si>
    <t xml:space="preserve">1.5.1 (3)</t>
  </si>
  <si>
    <t xml:space="preserve">Secondary point of contact: (optional)</t>
  </si>
  <si>
    <t xml:space="preserve">prov_p2_name</t>
  </si>
  <si>
    <t xml:space="preserve">Secondary Contact Name:</t>
  </si>
  <si>
    <t xml:space="preserve">Secondary Contact Name</t>
  </si>
  <si>
    <t xml:space="preserve">prov_p2_email</t>
  </si>
  <si>
    <t xml:space="preserve">prov_p2_phone</t>
  </si>
  <si>
    <t xml:space="preserve">prov_p2_addr1</t>
  </si>
  <si>
    <t xml:space="preserve">prov_p2_addr2</t>
  </si>
  <si>
    <t xml:space="preserve">prov_p2_city</t>
  </si>
  <si>
    <t xml:space="preserve">prov_p2_state</t>
  </si>
  <si>
    <t xml:space="preserve">prov_p2_zip</t>
  </si>
  <si>
    <t xml:space="preserve">4 · Contact Information – Non-initiating party</t>
  </si>
  <si>
    <t xml:space="preserve">1.5.2 (1)</t>
  </si>
  <si>
    <t xml:space="preserve">noninit</t>
  </si>
  <si>
    <t xml:space="preserve">Insurance provider type</t>
  </si>
  <si>
    <t xml:space="preserve">plan_role</t>
  </si>
  <si>
    <t xml:space="preserve">Select one of the insurance provider types below:</t>
  </si>
  <si>
    <t xml:space="preserve">*Select one of the insurance provider types below:</t>
  </si>
  <si>
    <t xml:space="preserve">PlanRole</t>
  </si>
  <si>
    <t xml:space="preserve">One of the 3 PlanRole values.</t>
  </si>
  <si>
    <t xml:space="preserve">Auto-set, editable: "Individual health insurance issuer" -&gt; Individual health insurance issuer; "Federal Employees Health Benefits (FEHB) carrier" -&gt; Federal Employee Health Benefits (FEHB) carrier; all other plan types -&gt; Group health plan. Note the portal spells "Employee" here and "Employees" in Health Plan Type.</t>
  </si>
  <si>
    <t xml:space="preserve">1.5.2 (2a)</t>
  </si>
  <si>
    <t xml:space="preserve">plan_name</t>
  </si>
  <si>
    <t xml:space="preserve">Health Insurance Plan or Company:</t>
  </si>
  <si>
    <t xml:space="preserve">*Health Insurance Plan or Company</t>
  </si>
  <si>
    <t xml:space="preserve">Payer</t>
  </si>
  <si>
    <t xml:space="preserve">The Payer list is the non-initiating party list. Picking a payer fills the fields below (L06).</t>
  </si>
  <si>
    <t xml:space="preserve">1.5.2 (2)</t>
  </si>
  <si>
    <t xml:space="preserve">plan_email</t>
  </si>
  <si>
    <t xml:space="preserve">Payer.email</t>
  </si>
  <si>
    <t xml:space="preserve">plan_phone</t>
  </si>
  <si>
    <t xml:space="preserve">Payer.phone</t>
  </si>
  <si>
    <t xml:space="preserve">plan_fax</t>
  </si>
  <si>
    <t xml:space="preserve">Payer.fax</t>
  </si>
  <si>
    <t xml:space="preserve">Blank on all 4 notices.</t>
  </si>
  <si>
    <t xml:space="preserve">plan_addr1</t>
  </si>
  <si>
    <t xml:space="preserve">Payer.addr1</t>
  </si>
  <si>
    <t xml:space="preserve">plan_addr2</t>
  </si>
  <si>
    <t xml:space="preserve">Payer.addr2</t>
  </si>
  <si>
    <t xml:space="preserve">plan_city</t>
  </si>
  <si>
    <t xml:space="preserve">Payer.city</t>
  </si>
  <si>
    <t xml:space="preserve">plan_state</t>
  </si>
  <si>
    <t xml:space="preserve">Payer.state</t>
  </si>
  <si>
    <t xml:space="preserve">plan_zip</t>
  </si>
  <si>
    <t xml:space="preserve">Payer.zip</t>
  </si>
  <si>
    <t xml:space="preserve">1.5.2 (3)</t>
  </si>
  <si>
    <t xml:space="preserve">plan_p1_name</t>
  </si>
  <si>
    <t xml:space="preserve">plan_p1_email</t>
  </si>
  <si>
    <t xml:space="preserve">plan_p1_phone</t>
  </si>
  <si>
    <t xml:space="preserve">plan_p1_addr1</t>
  </si>
  <si>
    <t xml:space="preserve">plan_p1_addr2</t>
  </si>
  <si>
    <t xml:space="preserve">plan_p1_city</t>
  </si>
  <si>
    <t xml:space="preserve">plan_p1_state</t>
  </si>
  <si>
    <t xml:space="preserve">plan_p1_zip</t>
  </si>
  <si>
    <t xml:space="preserve">1.5.2 (4)</t>
  </si>
  <si>
    <t xml:space="preserve">plan_p2_name</t>
  </si>
  <si>
    <t xml:space="preserve">plan_p2_email</t>
  </si>
  <si>
    <t xml:space="preserve">plan_p2_phone</t>
  </si>
  <si>
    <t xml:space="preserve">plan_p2_addr1</t>
  </si>
  <si>
    <t xml:space="preserve">plan_p2_addr2</t>
  </si>
  <si>
    <t xml:space="preserve">plan_p2_city</t>
  </si>
  <si>
    <t xml:space="preserve">plan_p2_state</t>
  </si>
  <si>
    <t xml:space="preserve">plan_p2_zip</t>
  </si>
  <si>
    <t xml:space="preserve">5 · Dispute Line Items</t>
  </si>
  <si>
    <t xml:space="preserve">1.6.1.1 (1)</t>
  </si>
  <si>
    <t xml:space="preserve">lines</t>
  </si>
  <si>
    <t xml:space="preserve">New Line Item</t>
  </si>
  <si>
    <t xml:space="preserve">description</t>
  </si>
  <si>
    <t xml:space="preserve">Enter the description of the item or service.</t>
  </si>
  <si>
    <t xml:space="preserve">textarea</t>
  </si>
  <si>
    <t xml:space="preserve">Required (V19).</t>
  </si>
  <si>
    <t xml:space="preserve">ServiceCode.label</t>
  </si>
  <si>
    <t xml:space="preserve">Summary table column 1.</t>
  </si>
  <si>
    <t xml:space="preserve">1.6.1.1 (2)</t>
  </si>
  <si>
    <t xml:space="preserve">claim_number</t>
  </si>
  <si>
    <t xml:space="preserve">Claim Number:</t>
  </si>
  <si>
    <t xml:space="preserve">Claim Number</t>
  </si>
  <si>
    <t xml:space="preserve">^[A-Za-z0-9]{1,40}$</t>
  </si>
  <si>
    <t xml:space="preserve">must be up to 40 letters and digits (no spaces or symbols)</t>
  </si>
  <si>
    <t xml:space="preserve">^[A-Za-z0-9]{1,40}$ (V48). Duplicate rules V56, V57.</t>
  </si>
  <si>
    <t xml:space="preserve">Previous line</t>
  </si>
  <si>
    <t xml:space="preserve">Up to 40 characters, alphanumeric (guide).</t>
  </si>
  <si>
    <t xml:space="preserve">1.6.1.1 (3)</t>
  </si>
  <si>
    <t xml:space="preserve">service_date</t>
  </si>
  <si>
    <t xml:space="preserve">Date of the qualified IDR item or service:</t>
  </si>
  <si>
    <t xml:space="preserve">Date of the qualified IDR item or service</t>
  </si>
  <si>
    <t xml:space="preserve">YYYY-MM-DD; on or after 2022-01-01 (V07); strictly before on_start_date (V47); batch spread (V37).</t>
  </si>
  <si>
    <t xml:space="preserve">Portal: calendar icon.</t>
  </si>
  <si>
    <t xml:space="preserve">1.6.1.1 (4)</t>
  </si>
  <si>
    <t xml:space="preserve">qpa</t>
  </si>
  <si>
    <t xml:space="preserve">Qualifying Payment Amount (QPA):</t>
  </si>
  <si>
    <t xml:space="preserve">*QPA</t>
  </si>
  <si>
    <t xml:space="preserve">money</t>
  </si>
  <si>
    <t xml:space="preserve">V05; warn if 0 (V18).</t>
  </si>
  <si>
    <t xml:space="preserve">Summary table: "Qualifying Payment Amount (QPA)".</t>
  </si>
  <si>
    <t xml:space="preserve">1.6.1.1 (5)</t>
  </si>
  <si>
    <t xml:space="preserve">cost_sharing</t>
  </si>
  <si>
    <t xml:space="preserve">Cost sharing amount allowed:</t>
  </si>
  <si>
    <t xml:space="preserve">*Cost sharing amount allowed</t>
  </si>
  <si>
    <t xml:space="preserve">V05; required (V19); warn if above QPA (V16).</t>
  </si>
  <si>
    <t xml:space="preserve">Changed: now required (portal marks it *).</t>
  </si>
  <si>
    <t xml:space="preserve">1.6.1.1 (6)</t>
  </si>
  <si>
    <t xml:space="preserve">initial_payment</t>
  </si>
  <si>
    <t xml:space="preserve">Initial payment amount for the item(s) and/or service(s) (if applicable):</t>
  </si>
  <si>
    <t xml:space="preserve">Initial payment amount for the item(s) and/or service(s) (if applicable)</t>
  </si>
  <si>
    <t xml:space="preserve">V05; warn if cost sharing + initial is not QPA (V17).</t>
  </si>
  <si>
    <t xml:space="preserve">Computed</t>
  </si>
  <si>
    <t xml:space="preserve">1.6.1.1 (7)</t>
  </si>
  <si>
    <t xml:space="preserve">Item(s) or service(s) under dispute</t>
  </si>
  <si>
    <t xml:space="preserve">item_types</t>
  </si>
  <si>
    <t xml:space="preserve">Select the item(s) or service(s) under dispute.</t>
  </si>
  <si>
    <t xml:space="preserve">(checkboxes) item(s) or service(s) under dispute</t>
  </si>
  <si>
    <t xml:space="preserve">checkboxes</t>
  </si>
  <si>
    <t xml:space="preserve">ItemType</t>
  </si>
  <si>
    <t xml:space="preserve">Emergency item(s)/service(s)</t>
  </si>
  <si>
    <t xml:space="preserve">At least one.</t>
  </si>
  <si>
    <t xml:space="preserve">More than one allowed. "Out-of-network air ambulance service(s)" removed (never applies to us).</t>
  </si>
  <si>
    <t xml:space="preserve">1.6.1.1 (7g)</t>
  </si>
  <si>
    <t xml:space="preserve">other_desc</t>
  </si>
  <si>
    <t xml:space="preserve">Other: Provide description</t>
  </si>
  <si>
    <t xml:space="preserve">Required when item_types includes Other (V25).</t>
  </si>
  <si>
    <t xml:space="preserve">1.6.1.1 (8a)</t>
  </si>
  <si>
    <t xml:space="preserve">Service codes</t>
  </si>
  <si>
    <t xml:space="preserve">service_code</t>
  </si>
  <si>
    <t xml:space="preserve">Service Code:</t>
  </si>
  <si>
    <t xml:space="preserve">*Service Code (five-character code)</t>
  </si>
  <si>
    <t xml:space="preserve">ServiceCode</t>
  </si>
  <si>
    <t xml:space="preserve">^[A-Za-z0-9]{5}$</t>
  </si>
  <si>
    <t xml:space="preserve">must be exactly 5 letters or digits</t>
  </si>
  <si>
    <t xml:space="preserve">^[A-Za-z0-9]{5}$ (V49); typo check (V31).</t>
  </si>
  <si>
    <t xml:space="preserve">Picking a code fills description when the code has a label.</t>
  </si>
  <si>
    <t xml:space="preserve">1.6.1.1 (8b)</t>
  </si>
  <si>
    <t xml:space="preserve">modifiers</t>
  </si>
  <si>
    <t xml:space="preserve">Service Code Modifier(s):</t>
  </si>
  <si>
    <t xml:space="preserve">Service Code Modifier(s)</t>
  </si>
  <si>
    <t xml:space="preserve">Modifier</t>
  </si>
  <si>
    <t xml:space="preserve">0–4 codes, each ^[A-Za-z0-9]{2}$; stored and copied "; "-separated (V50).</t>
  </si>
  <si>
    <t xml:space="preserve">Portal separates several modifiers with a semicolon automatically.</t>
  </si>
  <si>
    <t xml:space="preserve">1.6.1.1 (8c)</t>
  </si>
  <si>
    <t xml:space="preserve">pos_code</t>
  </si>
  <si>
    <t xml:space="preserve">Place of Service Code:</t>
  </si>
  <si>
    <t xml:space="preserve">*Place of Service Code (two digits)</t>
  </si>
  <si>
    <t xml:space="preserve">PosCode</t>
  </si>
  <si>
    <t xml:space="preserve">23</t>
  </si>
  <si>
    <t xml:space="preserve">^\d{2}$</t>
  </si>
  <si>
    <t xml:space="preserve">must be 2 digits</t>
  </si>
  <si>
    <t xml:space="preserve">^\d{2}$ (V51).</t>
  </si>
  <si>
    <t xml:space="preserve">1.6.1.1 (8d)</t>
  </si>
  <si>
    <t xml:space="preserve">location</t>
  </si>
  <si>
    <t xml:space="preserve">Location of Service:</t>
  </si>
  <si>
    <t xml:space="preserve">*Location of Service (state)</t>
  </si>
  <si>
    <t xml:space="preserve">Always TX (V32).</t>
  </si>
  <si>
    <t xml:space="preserve">Fixed business fact. Read-only; still copied to the portal. Fixed + Locked on the Fields tab: always stored as TX.</t>
  </si>
  <si>
    <t xml:space="preserve">1.6.1.1 (9)</t>
  </si>
  <si>
    <t xml:space="preserve">Documentation</t>
  </si>
  <si>
    <t xml:space="preserve">qpa_docs</t>
  </si>
  <si>
    <t xml:space="preserve">Upload documentation of the claim and QPA (for example, the initial payment or notice of denial of payment, remittance form and explanation of benefits, explanation of payments).</t>
  </si>
  <si>
    <t xml:space="preserve">(Upload) documentation of the claim and QPA</t>
  </si>
  <si>
    <t xml:space="preserve">At least 1 per line (V23); a file marked "use for all lines with this claim number" counts. Dispute total &lt;= 500 MB (V60).</t>
  </si>
  <si>
    <t xml:space="preserve">Examples: initial payment or notice of denial of payment, remittance and EOB, EOP. Category qpa. Names seen: "EOB &lt;account&gt;.pdf", "&lt;date&gt; LLC EOB C &lt;account&gt;.pdf". v4: can be attached before the dispute or line is saved (staging).</t>
  </si>
  <si>
    <t xml:space="preserve">1.6.1.1 (10)</t>
  </si>
  <si>
    <t xml:space="preserve">state_attest</t>
  </si>
  <si>
    <t xml:space="preserve">I have reviewed the state-specific eligibility criteria regarding the IDR processes for this item or service, and attest that this item or service is eligible for the Federal IDR process.</t>
  </si>
  <si>
    <t xml:space="preserve">*I have reviewed the state-specific eligibility criteria regarding the IDR processes for this item or service, and attest that this item or service is eligible for the Federal IDR process.</t>
  </si>
  <si>
    <t xml:space="preserve">Required when location is in Settings.ComplexStates (V61).</t>
  </si>
  <si>
    <t xml:space="preserve">Required depends on other answers (portal rule in code) ComplexStates default empty. Open question: is TX on the CMS Complex State list?</t>
  </si>
  <si>
    <t xml:space="preserve">6 · Preferred Certified IDR Entity &amp; Conflict of Interest</t>
  </si>
  <si>
    <t xml:space="preserve">1.7.1</t>
  </si>
  <si>
    <t xml:space="preserve">final</t>
  </si>
  <si>
    <t xml:space="preserve">Preferred Certified IDR Entity Selection</t>
  </si>
  <si>
    <t xml:space="preserve">idr_entity</t>
  </si>
  <si>
    <t xml:space="preserve">IDRE legal business name:</t>
  </si>
  <si>
    <t xml:space="preserve">*IDRE legal business name</t>
  </si>
  <si>
    <t xml:space="preserve">IdrEntity</t>
  </si>
  <si>
    <t xml:space="preserve">@top</t>
  </si>
  <si>
    <t xml:space="preserve">Required (V26); typo check (V31).</t>
  </si>
  <si>
    <t xml:space="preserve">Portal: dropdown. Default @top = the most used value of the IdrEntity list.</t>
  </si>
  <si>
    <t xml:space="preserve">1.7.2 (1)</t>
  </si>
  <si>
    <t xml:space="preserve">Conflict of Interest Attestation</t>
  </si>
  <si>
    <t xml:space="preserve">third_party_attest</t>
  </si>
  <si>
    <t xml:space="preserve">Is the undersigned individual below a third-party administrator or other service provider initiating on behalf of the plan, issuer, carrier, or Health Care Provider/Health Care Facility/Provider of Air Ambulance Services?</t>
  </si>
  <si>
    <t xml:space="preserve">Yes or No (V27).</t>
  </si>
  <si>
    <t xml:space="preserve">Exact portal question (label changed from v2 "Third Party Attestation:").</t>
  </si>
  <si>
    <t xml:space="preserve">1.7.2 (2)</t>
  </si>
  <si>
    <t xml:space="preserve">coi_attest</t>
  </si>
  <si>
    <t xml:space="preserve">I (We), the undersigned initiating party (or representative of the initiating party), attest that to the best of my knowledge the preferred certified IDR entity does not have a disqualifying conflict of interest and that the item(s) and/or service(s) at issue are qualified IDR item(s) and/or service(s) within the scope of the Federal IDR process.</t>
  </si>
  <si>
    <t xml:space="preserve">*I (We), the undersigned initiating party (or representative of the initiating party), attest that to the best of my knowledge the preferred certified IDR entity does not have a disqualifying conflict of interest and that the item(s) and/or service(s) at issue are qualified IDR item(s) and/or service(s) within the scope of the Federal IDR process.</t>
  </si>
  <si>
    <t xml:space="preserve">Must be checked (V63).</t>
  </si>
  <si>
    <t xml:space="preserve">Portal statement.</t>
  </si>
  <si>
    <t xml:space="preserve">1.7.3</t>
  </si>
  <si>
    <t xml:space="preserve">Additional Supporting Documentation</t>
  </si>
  <si>
    <t xml:space="preserve">additional_docs</t>
  </si>
  <si>
    <t xml:space="preserve">Upload any additional supporting documentation that is relevant to the dispute.</t>
  </si>
  <si>
    <t xml:space="preserve">(Upload) additional supporting documentation</t>
  </si>
  <si>
    <t xml:space="preserve">Under 45 MB per file (V35); dispute total &lt;= 500 MB (V60).</t>
  </si>
  <si>
    <t xml:space="preserve">Category additional. Name seen: "UB04 Form C-&lt;account&gt;.pdf" (1/4). v4: can be attached before the dispute or line is saved (staging).</t>
  </si>
  <si>
    <t xml:space="preserve">1.3 (7)</t>
  </si>
  <si>
    <t xml:space="preserve">Qualification Questions</t>
  </si>
  <si>
    <t xml:space="preserve">(none)</t>
  </si>
  <si>
    <t xml:space="preserve">*Has the self-insured plan opted into any specified state laws that would apply to the items and services in this dispute?</t>
  </si>
  <si>
    <t xml:space="preserve">n/a</t>
  </si>
  <si>
    <t xml:space="preserve">Not built</t>
  </si>
  <si>
    <t xml:space="preserve">Plan/issuer initiators only. Not built (we always initiate as provider or facility).</t>
  </si>
  <si>
    <t xml:space="preserve">1.3 (8)</t>
  </si>
  <si>
    <t xml:space="preserve">*Is the health plan fully or self-insured?</t>
  </si>
  <si>
    <t xml:space="preserve">Church plan / non-federal governmental plan, plan/issuer initiators only. Not built.</t>
  </si>
  <si>
    <t xml:space="preserve">1.6.1</t>
  </si>
  <si>
    <t xml:space="preserve">Dispute Type</t>
  </si>
  <si>
    <t xml:space="preserve">dispute_kind</t>
  </si>
  <si>
    <t xml:space="preserve">(derived) Single Line Item – Not Bundled | Single Line Item – Bundled | Batched Items or Services</t>
  </si>
  <si>
    <t xml:space="preserve">derived</t>
  </si>
  <si>
    <t xml:space="preserve">DisputeKind (fixed, 3)</t>
  </si>
  <si>
    <t xml:space="preserve">Auto</t>
  </si>
  <si>
    <t xml:space="preserve">Computed from dispute_type + bundled_payment. Drives line rules V52–V55.</t>
  </si>
  <si>
    <t xml:space="preserve">dispute_type, bundled_payment</t>
  </si>
  <si>
    <t xml:space="preserve">Changed values. Migration: "Single dispute" -&gt; single + bundled No; "A batched dispute" -&gt; batched; "A bundled dispute" -&gt; single + bundled Yes.</t>
  </si>
  <si>
    <t xml:space="preserve">1.6.1.2</t>
  </si>
  <si>
    <t xml:space="preserve">line_type</t>
  </si>
  <si>
    <t xml:space="preserve">*Item or Service Type (grayed out)</t>
  </si>
  <si>
    <t xml:space="preserve">display (read-only column)</t>
  </si>
  <si>
    <t xml:space="preserve">LineType (fixed, 2)</t>
  </si>
  <si>
    <t xml:space="preserve">Auto (bundled)</t>
  </si>
  <si>
    <t xml:space="preserve">Line 1 = "Bundled Item or Service"; lines 2+ = "Component Item or Service" (V53).</t>
  </si>
  <si>
    <t xml:space="preserve">Line number</t>
  </si>
  <si>
    <t xml:space="preserve">Only for Single Line Item – Bundled. Derived on read (not stored). The portal grays it out; the copy desk shows it in the summary-table position. Copy order 3 in the line copy desk (Code.gs deskOrder).</t>
  </si>
  <si>
    <t xml:space="preserve">1.6.3</t>
  </si>
  <si>
    <t xml:space="preserve">Summary of Qualified Items and/or Services</t>
  </si>
  <si>
    <t xml:space="preserve">(display)</t>
  </si>
  <si>
    <t xml:space="preserve">(table) Description, Claim Number, [Line Item Type], Date of Item or Service, QPA, Location of Service, Service Code, Service Code Modifier(s), Place of Service Code(s), Actions</t>
  </si>
  <si>
    <t xml:space="preserve">grid</t>
  </si>
  <si>
    <t xml:space="preserve">Each row validated on paste (bulk paste, B44).</t>
  </si>
  <si>
    <t xml:space="preserve">Studio line grid mirrors this table. Copy-desk order for lines follows these columns.</t>
  </si>
  <si>
    <t xml:space="preserve">1.7.2 (3)</t>
  </si>
  <si>
    <t xml:space="preserve">(display only)</t>
  </si>
  <si>
    <t xml:space="preserve">*Initiating party</t>
  </si>
  <si>
    <t xml:space="preserve">display (locked chip)</t>
  </si>
  <si>
    <t xml:space="preserve">Portal fills</t>
  </si>
  <si>
    <t xml:space="preserve">Auto-populated by the portal, cannot be changed. Studio shows prov_name.</t>
  </si>
  <si>
    <t xml:space="preserve">*Date</t>
  </si>
  <si>
    <t xml:space="preserve">Auto-populated by the portal (initiation date). Not stored.</t>
  </si>
  <si>
    <t xml:space="preserve">7 · Review &amp; Submit</t>
  </si>
  <si>
    <t xml:space="preserve">1.8</t>
  </si>
  <si>
    <t xml:space="preserve">Review &amp; Submit</t>
  </si>
  <si>
    <t xml:space="preserve">(Studio summary of every page + confirmation PDF)</t>
  </si>
  <si>
    <t xml:space="preserve">summary</t>
  </si>
  <si>
    <t xml:space="preserve">All blocking rules pass (finalizeDispute).</t>
  </si>
  <si>
    <t xml:space="preserve">Portal: changing the dispute type on the portal means re-entering all line items. Then the US desk files.</t>
  </si>
  <si>
    <t xml:space="preserve">US copy desk (Studio only)</t>
  </si>
  <si>
    <t xml:space="preserve">1.1</t>
  </si>
  <si>
    <t xml:space="preserve">Copy desk</t>
  </si>
  <si>
    <t xml:space="preserve">(client only)</t>
  </si>
  <si>
    <t xml:space="preserve">(Start portal entry – 60-minute timer)</t>
  </si>
  <si>
    <t xml:space="preserve">button + timer</t>
  </si>
  <si>
    <t xml:space="preserve">Blocked before business day 31 (V43).</t>
  </si>
  <si>
    <t xml:space="preserve">"Start only when you can finish this dispute in one sitting." Warning at 50 minutes.</t>
  </si>
  <si>
    <t xml:space="preserve">1.9</t>
  </si>
  <si>
    <t xml:space="preserve">Mark as filed</t>
  </si>
  <si>
    <t xml:space="preserve">PortalDisputeNumber</t>
  </si>
  <si>
    <t xml:space="preserve">Dispute Reference Number (portal)</t>
  </si>
  <si>
    <t xml:space="preserve">Yes (to file)</t>
  </si>
  <si>
    <t xml:space="preserve">^DISP-\d+$ (V28).</t>
  </si>
  <si>
    <t xml:space="preserve">Changed: v2 used ^DISP-\d{7}$.</t>
  </si>
  <si>
    <t xml:space="preserve">1.9 (1)</t>
  </si>
  <si>
    <t xml:space="preserve">PortalPdfUrl</t>
  </si>
  <si>
    <t xml:space="preserve">Notice of IDR Initiation PDF (portal "Save as PDF")</t>
  </si>
  <si>
    <t xml:space="preserve">V29.</t>
  </si>
  <si>
    <t xml:space="preserve">Category portal_confirmation.</t>
  </si>
  <si>
    <t xml:space="preserve">nip_notified_date</t>
  </si>
  <si>
    <t xml:space="preserve">Date the non-initiating party was sent the Notice of IDR Initiation</t>
  </si>
  <si>
    <t xml:space="preserve">Filed date</t>
  </si>
  <si>
    <t xml:space="preserve">Required to file (V65); warning if not the filed date (V66).</t>
  </si>
  <si>
    <t xml:space="preserve">Guide: a copy must go to the non-initiating party the same day.</t>
  </si>
  <si>
    <t xml:space="preserve">nip_notified_method</t>
  </si>
  <si>
    <t xml:space="preserve">How the non-initiating party was sent the notice</t>
  </si>
  <si>
    <t xml:space="preserve">NipMethod (fixed, 4)</t>
  </si>
  <si>
    <t xml:space="preserve">One of NipMethod (V65).</t>
  </si>
  <si>
    <t xml:space="preserve">Sent with markFiled as notice {date, method}.</t>
  </si>
  <si>
    <t xml:space="preserve">1.9 (1c)</t>
  </si>
  <si>
    <t xml:space="preserve">IDRE selection (optional)</t>
  </si>
  <si>
    <t xml:space="preserve">idre_final</t>
  </si>
  <si>
    <t xml:space="preserve">Final certified IDR entity</t>
  </si>
  <si>
    <t xml:space="preserve">Set after the selection notice.</t>
  </si>
  <si>
    <t xml:space="preserve">idre_status</t>
  </si>
  <si>
    <t xml:space="preserve">IDRE selection status</t>
  </si>
  <si>
    <t xml:space="preserve">IdreStatus (fixed, 4)</t>
  </si>
  <si>
    <t xml:space="preserve">Pending</t>
  </si>
  <si>
    <t xml:space="preserve">One of IdreStatus (V67).</t>
  </si>
  <si>
    <t xml:space="preserve">Not blocking; Filed disputes only (updateIdreSelection). Alternate entity accept or deny is noted here.</t>
  </si>
  <si>
    <t xml:space="preserve">Return</t>
  </si>
  <si>
    <t xml:space="preserve">ReturnReason</t>
  </si>
  <si>
    <t xml:space="preserve">Yes (to return)</t>
  </si>
  <si>
    <t xml:space="preserve">Required (V30).</t>
  </si>
  <si>
    <t xml:space="preserve">returnDispute(id, reason, details) stores "reason: details" in this column. List adds "Duplicate line item".</t>
  </si>
  <si>
    <t xml:space="preserve">Value</t>
  </si>
  <si>
    <t xml:space="preserve">Label</t>
  </si>
  <si>
    <t xml:space="preserve">Data JSON</t>
  </si>
  <si>
    <t xml:space="preserve">Count (seed)</t>
  </si>
  <si>
    <t xml:space="preserve">Source</t>
  </si>
  <si>
    <t xml:space="preserve">Strict</t>
  </si>
  <si>
    <t xml:space="preserve">Flag / note</t>
  </si>
  <si>
    <t xml:space="preserve">AL</t>
  </si>
  <si>
    <t xml:space="preserve">seed</t>
  </si>
  <si>
    <t xml:space="preserve">AK</t>
  </si>
  <si>
    <t xml:space="preserve">AZ</t>
  </si>
  <si>
    <t xml:space="preserve">AR</t>
  </si>
  <si>
    <t xml:space="preserve">CA</t>
  </si>
  <si>
    <t xml:space="preserve">CO</t>
  </si>
  <si>
    <t xml:space="preserve">CT</t>
  </si>
  <si>
    <t xml:space="preserve">DE</t>
  </si>
  <si>
    <t xml:space="preserve">DC</t>
  </si>
  <si>
    <t xml:space="preserve">FL</t>
  </si>
  <si>
    <t xml:space="preserve">GA</t>
  </si>
  <si>
    <t xml:space="preserve">HI</t>
  </si>
  <si>
    <t xml:space="preserve">ID</t>
  </si>
  <si>
    <t xml:space="preserve">IL</t>
  </si>
  <si>
    <t xml:space="preserve">IN</t>
  </si>
  <si>
    <t xml:space="preserve">IA</t>
  </si>
  <si>
    <t xml:space="preserve">KS</t>
  </si>
  <si>
    <t xml:space="preserve">KY</t>
  </si>
  <si>
    <t xml:space="preserve">LA</t>
  </si>
  <si>
    <t xml:space="preserve">ME</t>
  </si>
  <si>
    <t xml:space="preserve">MD</t>
  </si>
  <si>
    <t xml:space="preserve">MA</t>
  </si>
  <si>
    <t xml:space="preserve">MI</t>
  </si>
  <si>
    <t xml:space="preserve">MN</t>
  </si>
  <si>
    <t xml:space="preserve">MS</t>
  </si>
  <si>
    <t xml:space="preserve">MO</t>
  </si>
  <si>
    <t xml:space="preserve">MT</t>
  </si>
  <si>
    <t xml:space="preserve">NE</t>
  </si>
  <si>
    <t xml:space="preserve">NV</t>
  </si>
  <si>
    <t xml:space="preserve">NH</t>
  </si>
  <si>
    <t xml:space="preserve">NJ</t>
  </si>
  <si>
    <t xml:space="preserve">NM</t>
  </si>
  <si>
    <t xml:space="preserve">NY</t>
  </si>
  <si>
    <t xml:space="preserve">NC</t>
  </si>
  <si>
    <t xml:space="preserve">ND</t>
  </si>
  <si>
    <t xml:space="preserve">OH</t>
  </si>
  <si>
    <t xml:space="preserve">OK</t>
  </si>
  <si>
    <t xml:space="preserve">OR</t>
  </si>
  <si>
    <t xml:space="preserve">PA</t>
  </si>
  <si>
    <t xml:space="preserve">RI</t>
  </si>
  <si>
    <t xml:space="preserve">SC</t>
  </si>
  <si>
    <t xml:space="preserve">SD</t>
  </si>
  <si>
    <t xml:space="preserve">TN</t>
  </si>
  <si>
    <t xml:space="preserve">UT</t>
  </si>
  <si>
    <t xml:space="preserve">VT</t>
  </si>
  <si>
    <t xml:space="preserve">VA</t>
  </si>
  <si>
    <t xml:space="preserve">WA</t>
  </si>
  <si>
    <t xml:space="preserve">WV</t>
  </si>
  <si>
    <t xml:space="preserve">WI</t>
  </si>
  <si>
    <t xml:space="preserve">WY</t>
  </si>
  <si>
    <t xml:space="preserve">AS</t>
  </si>
  <si>
    <t xml:space="preserve">GU</t>
  </si>
  <si>
    <t xml:space="preserve">MP</t>
  </si>
  <si>
    <t xml:space="preserve">PR</t>
  </si>
  <si>
    <t xml:space="preserve">VI</t>
  </si>
  <si>
    <t xml:space="preserve">yes</t>
  </si>
  <si>
    <t xml:space="preserve">Strict: portal wording, never learns. Rewording keeps the Key; the rules use the Key.</t>
  </si>
  <si>
    <t xml:space="preserve">no</t>
  </si>
  <si>
    <t xml:space="preserve">provider</t>
  </si>
  <si>
    <t xml:space="preserve">Health care provider</t>
  </si>
  <si>
    <t xml:space="preserve">facility</t>
  </si>
  <si>
    <t xml:space="preserve">Health care facility</t>
  </si>
  <si>
    <t xml:space="preserve">group</t>
  </si>
  <si>
    <t xml:space="preserve">Group health plan</t>
  </si>
  <si>
    <t xml:space="preserve">individual</t>
  </si>
  <si>
    <t xml:space="preserve">Individual health insurance issuer</t>
  </si>
  <si>
    <t xml:space="preserve">fehb</t>
  </si>
  <si>
    <t xml:space="preserve">Federal Employee Health Benefits (FEHB) carrier</t>
  </si>
  <si>
    <t xml:space="preserve">fully_insured</t>
  </si>
  <si>
    <t xml:space="preserve">Fully-insured ERISA group health plan</t>
  </si>
  <si>
    <t xml:space="preserve">Federal Employees Health Benefits (FEHB) carrier</t>
  </si>
  <si>
    <t xml:space="preserve">self_insured</t>
  </si>
  <si>
    <t xml:space="preserve">church</t>
  </si>
  <si>
    <t xml:space="preserve">Church plan</t>
  </si>
  <si>
    <t xml:space="preserve">governmental</t>
  </si>
  <si>
    <t xml:space="preserve">Non-federal governmental plan (e.g., state or local government plan)</t>
  </si>
  <si>
    <t xml:space="preserve">no_response</t>
  </si>
  <si>
    <t xml:space="preserve">No Plan/Issuer Response</t>
  </si>
  <si>
    <t xml:space="preserve">single</t>
  </si>
  <si>
    <t xml:space="preserve">A single dispute</t>
  </si>
  <si>
    <t xml:space="preserve">I’m disputing either (a) one service code that represents one item or service, or (b) one service code that represents multiple items or services (a bundled payment arrangement).</t>
  </si>
  <si>
    <t xml:space="preserve">batched</t>
  </si>
  <si>
    <t xml:space="preserve">I’m disputing multiple items or services related to the treatment of a similar condition.</t>
  </si>
  <si>
    <t xml:space="preserve">approval</t>
  </si>
  <si>
    <t xml:space="preserve">I received an extension approval from the Federal IDR mailbox and will upload evidence of this extension in the Supporting Documentation section of this web form.</t>
  </si>
  <si>
    <t xml:space="preserve">Extension approval</t>
  </si>
  <si>
    <t xml:space="preserve">cooling</t>
  </si>
  <si>
    <t xml:space="preserve">The item(s) or service(s) under dispute was subject to the cooling off period.</t>
  </si>
  <si>
    <t xml:space="preserve">Cooling off period</t>
  </si>
  <si>
    <t xml:space="preserve">emergency</t>
  </si>
  <si>
    <t xml:space="preserve">post_stabilization</t>
  </si>
  <si>
    <t xml:space="preserve">Post-stabilization service(s)</t>
  </si>
  <si>
    <t xml:space="preserve">professional</t>
  </si>
  <si>
    <t xml:space="preserve">Professional service(s)</t>
  </si>
  <si>
    <t xml:space="preserve">hospital_based</t>
  </si>
  <si>
    <t xml:space="preserve">Hospital-based service(s)</t>
  </si>
  <si>
    <t xml:space="preserve">nonpar_at_par</t>
  </si>
  <si>
    <t xml:space="preserve">Item(s)/service(s) furnished by a nonparticipating provider at a participating health care facility</t>
  </si>
  <si>
    <t xml:space="preserve">other</t>
  </si>
  <si>
    <t xml:space="preserve">LineType</t>
  </si>
  <si>
    <t xml:space="preserve">bundled</t>
  </si>
  <si>
    <t xml:space="preserve">Bundled Item or Service</t>
  </si>
  <si>
    <t xml:space="preserve">component</t>
  </si>
  <si>
    <t xml:space="preserve">Component Item or Service</t>
  </si>
  <si>
    <t xml:space="preserve">NipMethod</t>
  </si>
  <si>
    <t xml:space="preserve">mail</t>
  </si>
  <si>
    <t xml:space="preserve">Mail</t>
  </si>
  <si>
    <t xml:space="preserve">fax</t>
  </si>
  <si>
    <t xml:space="preserve">portal</t>
  </si>
  <si>
    <t xml:space="preserve">Portal</t>
  </si>
  <si>
    <t xml:space="preserve">IdreStatus</t>
  </si>
  <si>
    <t xml:space="preserve">pending</t>
  </si>
  <si>
    <t xml:space="preserve">accepted_preferred</t>
  </si>
  <si>
    <t xml:space="preserve">Accepted preferred</t>
  </si>
  <si>
    <t xml:space="preserve">alternate_accepted</t>
  </si>
  <si>
    <t xml:space="preserve">Alternate accepted</t>
  </si>
  <si>
    <t xml:space="preserve">alternate_denied</t>
  </si>
  <si>
    <t xml:space="preserve">Alternate denied</t>
  </si>
  <si>
    <t xml:space="preserve">Missing document</t>
  </si>
  <si>
    <t xml:space="preserve">Wrong amount</t>
  </si>
  <si>
    <t xml:space="preserve">Wrong payer details</t>
  </si>
  <si>
    <t xml:space="preserve">Not eligible</t>
  </si>
  <si>
    <t xml:space="preserve">Deadline passed</t>
  </si>
  <si>
    <t xml:space="preserve">Duplicate line item</t>
  </si>
  <si>
    <t xml:space="preserve">Other</t>
  </si>
  <si>
    <t xml:space="preserve">Emergency room – hospital</t>
  </si>
  <si>
    <t xml:space="preserve">22</t>
  </si>
  <si>
    <t xml:space="preserve">On campus-outpatient hospital</t>
  </si>
  <si>
    <t xml:space="preserve">11</t>
  </si>
  <si>
    <t xml:space="preserve">Office</t>
  </si>
  <si>
    <t xml:space="preserve">20</t>
  </si>
  <si>
    <t xml:space="preserve">Urgent care facility</t>
  </si>
  <si>
    <t xml:space="preserve">41</t>
  </si>
  <si>
    <t xml:space="preserve">Ambulance – land</t>
  </si>
  <si>
    <t xml:space="preserve">25</t>
  </si>
  <si>
    <t xml:space="preserve">59</t>
  </si>
  <si>
    <t xml:space="preserve">XU</t>
  </si>
  <si>
    <t xml:space="preserve">76</t>
  </si>
  <si>
    <t xml:space="preserve">77</t>
  </si>
  <si>
    <t xml:space="preserve">LT</t>
  </si>
  <si>
    <t xml:space="preserve">RT</t>
  </si>
  <si>
    <t xml:space="preserve">GC</t>
  </si>
  <si>
    <t xml:space="preserve">Maximus Federal Services Inc</t>
  </si>
  <si>
    <t xml:space="preserve">Capitol Bridge LLC</t>
  </si>
  <si>
    <t xml:space="preserve">Federal Hearings and Appeals Services, LLC</t>
  </si>
  <si>
    <t xml:space="preserve">90 Degree Benefits</t>
  </si>
  <si>
    <t xml:space="preserve">Contact details needed.</t>
  </si>
  <si>
    <t xml:space="preserve">ABA</t>
  </si>
  <si>
    <t xml:space="preserve">Aetna</t>
  </si>
  <si>
    <t xml:space="preserve">Allegiance</t>
  </si>
  <si>
    <t xml:space="preserve">Allegiance Benefi Plan Management, Inc</t>
  </si>
  <si>
    <t xml:space="preserve">Contact details needed. Possible typo "Benefi"; also close to "Allegiance". Business to confirm.</t>
  </si>
  <si>
    <t xml:space="preserve">Allied Benefit Systems, Inc.</t>
  </si>
  <si>
    <t xml:space="preserve">Allstate</t>
  </si>
  <si>
    <t xml:space="preserve">Ambetter-Superior HealthPlan</t>
  </si>
  <si>
    <t xml:space="preserve">Angle Health</t>
  </si>
  <si>
    <t xml:space="preserve">Ameriben</t>
  </si>
  <si>
    <t xml:space="preserve">APWU Health Plan</t>
  </si>
  <si>
    <t xml:space="preserve">Assured Benefits Administrator</t>
  </si>
  <si>
    <t xml:space="preserve">AULTCARE</t>
  </si>
  <si>
    <t xml:space="preserve">Auxiant</t>
  </si>
  <si>
    <t xml:space="preserve">Baylor Scott &amp; White</t>
  </si>
  <si>
    <t xml:space="preserve">BCBS</t>
  </si>
  <si>
    <t xml:space="preserve">{"addr1": "PO BOX 660044", "city": "Dallas", "state": "TX", "zip": "75266", "email": "nsa.disputes@bcbstx.com", "phone": "(800) 451-0287"}</t>
  </si>
  <si>
    <t xml:space="preserve">Benefit &amp; Risk Management Services- BRMS</t>
  </si>
  <si>
    <t xml:space="preserve">BENEFITS HEALTHSMART</t>
  </si>
  <si>
    <t xml:space="preserve">Contact details needed. Kept separate from Healthsmart (may be a different TPA). Business to confirm.</t>
  </si>
  <si>
    <t xml:space="preserve">Boon Chapman</t>
  </si>
  <si>
    <t xml:space="preserve">Bright HealthCare</t>
  </si>
  <si>
    <t xml:space="preserve">Cantex Inc</t>
  </si>
  <si>
    <t xml:space="preserve">CareFactor</t>
  </si>
  <si>
    <t xml:space="preserve">Centivo</t>
  </si>
  <si>
    <t xml:space="preserve">CGS Health</t>
  </si>
  <si>
    <t xml:space="preserve">Chesterfield Resources Inc.</t>
  </si>
  <si>
    <t xml:space="preserve">Cigna</t>
  </si>
  <si>
    <t xml:space="preserve">{"addr1": "P.O. BOX 182223", "city": "CHATTANOOGA", "state": "TN", "zip": "37422-7223", "email": "nsaidr@multiplan.com", "phone": "(800) 244-6224"}</t>
  </si>
  <si>
    <t xml:space="preserve">CITY OF FORT WORTH</t>
  </si>
  <si>
    <t xml:space="preserve">Coeur Plan</t>
  </si>
  <si>
    <t xml:space="preserve">Concord Hospital Entreprises</t>
  </si>
  <si>
    <t xml:space="preserve">Contact details needed. Possible typo "Entreprises". Business to confirm.</t>
  </si>
  <si>
    <t xml:space="preserve">Connected Care</t>
  </si>
  <si>
    <t xml:space="preserve">COOK CHILDREN'S HEALTH CARE SYSTEM</t>
  </si>
  <si>
    <t xml:space="preserve">Dean Health Plan</t>
  </si>
  <si>
    <t xml:space="preserve">EMI Health</t>
  </si>
  <si>
    <t xml:space="preserve">Employers Health Network</t>
  </si>
  <si>
    <t xml:space="preserve">Enterprise Group Planning, INC</t>
  </si>
  <si>
    <t xml:space="preserve">EVHC</t>
  </si>
  <si>
    <t xml:space="preserve">First Health Network</t>
  </si>
  <si>
    <t xml:space="preserve">Fringe Benefit Group</t>
  </si>
  <si>
    <t xml:space="preserve">GEHA (Government Employees Health Association, Inc.)</t>
  </si>
  <si>
    <t xml:space="preserve">Contact details needed. Parentheses are not allowed in portal name fields. Fix button gives "GEHA Government Employees Health Association, Inc.". Business to confirm the stored name.</t>
  </si>
  <si>
    <t xml:space="preserve">Golden Rule</t>
  </si>
  <si>
    <t xml:space="preserve">GPA</t>
  </si>
  <si>
    <t xml:space="preserve">Gravie Administrative Services</t>
  </si>
  <si>
    <t xml:space="preserve">Group Management Services</t>
  </si>
  <si>
    <t xml:space="preserve">Health Choice</t>
  </si>
  <si>
    <t xml:space="preserve">HEALTH COMP</t>
  </si>
  <si>
    <t xml:space="preserve">Health EZ</t>
  </si>
  <si>
    <t xml:space="preserve">Health New England</t>
  </si>
  <si>
    <t xml:space="preserve">Health Partners</t>
  </si>
  <si>
    <t xml:space="preserve">Health Plans Inc.</t>
  </si>
  <si>
    <t xml:space="preserve">Healthcare Highways</t>
  </si>
  <si>
    <t xml:space="preserve">Healthgram</t>
  </si>
  <si>
    <t xml:space="preserve">healthnet</t>
  </si>
  <si>
    <t xml:space="preserve">Contact details needed. All lower case. Business to confirm the display name.</t>
  </si>
  <si>
    <t xml:space="preserve">HealthNow</t>
  </si>
  <si>
    <t xml:space="preserve">HealthScope Benefits</t>
  </si>
  <si>
    <t xml:space="preserve">Healthsmart</t>
  </si>
  <si>
    <t xml:space="preserve">Contact details needed. Kept separate from BENEFITS HEALTHSMART. Business to confirm.</t>
  </si>
  <si>
    <t xml:space="preserve">Humana</t>
  </si>
  <si>
    <t xml:space="preserve">IBEW-NECA Southwestern Health &amp; Benefit Fund</t>
  </si>
  <si>
    <t xml:space="preserve">IDA</t>
  </si>
  <si>
    <t xml:space="preserve">Imagine 360</t>
  </si>
  <si>
    <t xml:space="preserve">Imagine Health</t>
  </si>
  <si>
    <t xml:space="preserve">JP Farley</t>
  </si>
  <si>
    <t xml:space="preserve">Insurance Management Services</t>
  </si>
  <si>
    <t xml:space="preserve">Insurance Administrator of America</t>
  </si>
  <si>
    <t xml:space="preserve">Insurance Medical Services</t>
  </si>
  <si>
    <t xml:space="preserve">Kaiser Permanente</t>
  </si>
  <si>
    <t xml:space="preserve">LaSalle Management</t>
  </si>
  <si>
    <t xml:space="preserve">LIFEX</t>
  </si>
  <si>
    <t xml:space="preserve">Lucent Health</t>
  </si>
  <si>
    <t xml:space="preserve">Luminare Health</t>
  </si>
  <si>
    <t xml:space="preserve">MARPAI</t>
  </si>
  <si>
    <t xml:space="preserve">Medica</t>
  </si>
  <si>
    <t xml:space="preserve">Medica Insurance Company</t>
  </si>
  <si>
    <t xml:space="preserve">Medical Mutual</t>
  </si>
  <si>
    <t xml:space="preserve">Meritain Health</t>
  </si>
  <si>
    <t xml:space="preserve">Minnesota Laborers Health &amp; Welfare Fund</t>
  </si>
  <si>
    <t xml:space="preserve">MN Teamsters Construction DIVHW Fund</t>
  </si>
  <si>
    <t xml:space="preserve">Moda Health</t>
  </si>
  <si>
    <t xml:space="preserve">NALC Health Benefit Plan</t>
  </si>
  <si>
    <t xml:space="preserve">Orchestrate</t>
  </si>
  <si>
    <t xml:space="preserve">Phia Group</t>
  </si>
  <si>
    <t xml:space="preserve">Personify Health West</t>
  </si>
  <si>
    <t xml:space="preserve">Point C</t>
  </si>
  <si>
    <t xml:space="preserve">Priority Health</t>
  </si>
  <si>
    <t xml:space="preserve">Professional Benefit Administators</t>
  </si>
  <si>
    <t xml:space="preserve">Contact details needed. Possible typo "Administators". Business to confirm.</t>
  </si>
  <si>
    <t xml:space="preserve">Progressive</t>
  </si>
  <si>
    <t xml:space="preserve">Providence administrative Services</t>
  </si>
  <si>
    <t xml:space="preserve">Providence Health Plan</t>
  </si>
  <si>
    <t xml:space="preserve">Quantum Health</t>
  </si>
  <si>
    <t xml:space="preserve">Reflect Health</t>
  </si>
  <si>
    <t xml:space="preserve">S&amp;S HealthCare Strategies</t>
  </si>
  <si>
    <t xml:space="preserve">Sage</t>
  </si>
  <si>
    <t xml:space="preserve">SAMBA</t>
  </si>
  <si>
    <t xml:space="preserve">Sana Benefits</t>
  </si>
  <si>
    <t xml:space="preserve">Seafarers Health and Benefits Plan</t>
  </si>
  <si>
    <t xml:space="preserve">Select Health</t>
  </si>
  <si>
    <t xml:space="preserve">Sharp Health Plan</t>
  </si>
  <si>
    <t xml:space="preserve">SHL Solutions</t>
  </si>
  <si>
    <t xml:space="preserve">Simplan</t>
  </si>
  <si>
    <t xml:space="preserve">SISCO</t>
  </si>
  <si>
    <t xml:space="preserve">Star Marketing and Admin, Inc.</t>
  </si>
  <si>
    <t xml:space="preserve">Texas Iron Workers Health Benefit Fund</t>
  </si>
  <si>
    <t xml:space="preserve">The Health Plan</t>
  </si>
  <si>
    <t xml:space="preserve">The Loomis Company</t>
  </si>
  <si>
    <t xml:space="preserve">Total Affiliates Health &amp; Welfare Plan</t>
  </si>
  <si>
    <t xml:space="preserve">TrustMark</t>
  </si>
  <si>
    <t xml:space="preserve">UFCW</t>
  </si>
  <si>
    <t xml:space="preserve">UFCW Med 1000</t>
  </si>
  <si>
    <t xml:space="preserve">UHC</t>
  </si>
  <si>
    <t xml:space="preserve">{"addr1": "PO Box 30783", "city": "Salt Lake City", "state": "UT", "zip": "84130-0783", "email": "uhg_idr_disputes@uhc.com", "phone": "(877) 842-3210"}</t>
  </si>
  <si>
    <t xml:space="preserve">UHC Shared Services</t>
  </si>
  <si>
    <t xml:space="preserve">Contact details needed. May be the same as "UHSS". Business to confirm.</t>
  </si>
  <si>
    <t xml:space="preserve">UHC Surest</t>
  </si>
  <si>
    <t xml:space="preserve">UHSS</t>
  </si>
  <si>
    <t xml:space="preserve">Contact details needed. May be the same as "UHC Shared Services". Business to confirm.</t>
  </si>
  <si>
    <t xml:space="preserve">UMR</t>
  </si>
  <si>
    <t xml:space="preserve">{"addr1": "PO BOX 30541", "city": "SALT LAKE CITY", "state": "UT", "zip": "84130", "email": "idr@clearhealthcloud.com", "phone": "(877) 233-1800"}</t>
  </si>
  <si>
    <t xml:space="preserve">Unified Group Services</t>
  </si>
  <si>
    <t xml:space="preserve">UNITED AGRICULTURAL BENEFIT TRUST</t>
  </si>
  <si>
    <t xml:space="preserve">United Benefit Fund</t>
  </si>
  <si>
    <t xml:space="preserve">UPMC</t>
  </si>
  <si>
    <t xml:space="preserve">US Benefits</t>
  </si>
  <si>
    <t xml:space="preserve">Vitori Health</t>
  </si>
  <si>
    <t xml:space="preserve">WebTPA</t>
  </si>
  <si>
    <t xml:space="preserve">YUZU Health</t>
  </si>
  <si>
    <t xml:space="preserve">ZELIS</t>
  </si>
  <si>
    <t xml:space="preserve">Friday Health Plan</t>
  </si>
  <si>
    <t xml:space="preserve">Unite Here Health</t>
  </si>
  <si>
    <t xml:space="preserve">United Healthcare</t>
  </si>
  <si>
    <t xml:space="preserve">{"mergedInto": "UHC"}</t>
  </si>
  <si>
    <t xml:space="preserve">Hidden</t>
  </si>
  <si>
    <t xml:space="preserve">Alias of UHC (hidden row, Data.mergedInto). v2 name, not one of the 124.</t>
  </si>
  <si>
    <t xml:space="preserve">BLUECROSS BLUESHIELD</t>
  </si>
  <si>
    <t xml:space="preserve">{"mergedInto": "BCBS"}</t>
  </si>
  <si>
    <t xml:space="preserve">Alias of BCBS (hidden row, Data.mergedInto). v2 name, not one of the 124.</t>
  </si>
  <si>
    <t xml:space="preserve">Health Now</t>
  </si>
  <si>
    <t xml:space="preserve">{"mergedInto": "HealthNow"}</t>
  </si>
  <si>
    <t xml:space="preserve">Alias of HealthNow (hidden row, Data.mergedInto).</t>
  </si>
  <si>
    <t xml:space="preserve">99285</t>
  </si>
  <si>
    <t xml:space="preserve">Description learned on first save.</t>
  </si>
  <si>
    <t xml:space="preserve">99284</t>
  </si>
  <si>
    <t xml:space="preserve">EMERGENCY ROOM SERVICE</t>
  </si>
  <si>
    <t xml:space="preserve">{"description": "EMERGENCY ROOM SERVICE"}</t>
  </si>
  <si>
    <t xml:space="preserve">99291</t>
  </si>
  <si>
    <t xml:space="preserve">70450</t>
  </si>
  <si>
    <t xml:space="preserve">CT HEAD/BRAIN W/O DYE</t>
  </si>
  <si>
    <t xml:space="preserve">{"description": "CT HEAD/BRAIN W/O DYE"}</t>
  </si>
  <si>
    <t xml:space="preserve">74176</t>
  </si>
  <si>
    <t xml:space="preserve">0202U</t>
  </si>
  <si>
    <t xml:space="preserve">71046</t>
  </si>
  <si>
    <t xml:space="preserve">71100</t>
  </si>
  <si>
    <t xml:space="preserve">99283</t>
  </si>
  <si>
    <t xml:space="preserve">27780</t>
  </si>
  <si>
    <t xml:space="preserve">99000</t>
  </si>
  <si>
    <t xml:space="preserve">36410</t>
  </si>
  <si>
    <t xml:space="preserve">76705</t>
  </si>
  <si>
    <t xml:space="preserve">96372</t>
  </si>
  <si>
    <t xml:space="preserve">THERAPY/PROPHYLAXIS/DIAGNOSIS INJECTION, SC/IM</t>
  </si>
  <si>
    <t xml:space="preserve">{"description": "THERAPY/PROPHYLAXIS/DIAGNOSIS INJECTION, SC/IM"}</t>
  </si>
  <si>
    <t xml:space="preserve">74177</t>
  </si>
  <si>
    <t xml:space="preserve">96365</t>
  </si>
  <si>
    <t xml:space="preserve">96366</t>
  </si>
  <si>
    <t xml:space="preserve">96368</t>
  </si>
  <si>
    <t xml:space="preserve">96375</t>
  </si>
  <si>
    <t xml:space="preserve">72125</t>
  </si>
  <si>
    <t xml:space="preserve">CT NECK SPINE W/O DYE</t>
  </si>
  <si>
    <t xml:space="preserve">{"description": "CT NECK SPINE W/O DYE"}</t>
  </si>
  <si>
    <t xml:space="preserve">73030</t>
  </si>
  <si>
    <t xml:space="preserve">76870</t>
  </si>
  <si>
    <t xml:space="preserve">A4670</t>
  </si>
  <si>
    <t xml:space="preserve">AUTOMATIC BLOOD PRESSURE MONITOR</t>
  </si>
  <si>
    <t xml:space="preserve">{"description": "AUTOMATIC BLOOD PRESSURE MONITOR"}</t>
  </si>
  <si>
    <t xml:space="preserve">94761</t>
  </si>
  <si>
    <t xml:space="preserve">MEASURE BLOOD OXYGEN LEVEL</t>
  </si>
  <si>
    <t xml:space="preserve">{"description": "MEASURE BLOOD OXYGEN LEVEL"}</t>
  </si>
  <si>
    <t xml:space="preserve">96374</t>
  </si>
  <si>
    <t xml:space="preserve">93005</t>
  </si>
  <si>
    <t xml:space="preserve">E0445</t>
  </si>
  <si>
    <t xml:space="preserve">96361</t>
  </si>
  <si>
    <t xml:space="preserve">99239</t>
  </si>
  <si>
    <t xml:space="preserve">G0378</t>
  </si>
  <si>
    <t xml:space="preserve">73552</t>
  </si>
  <si>
    <t xml:space="preserve">71250</t>
  </si>
  <si>
    <t xml:space="preserve">Q9967</t>
  </si>
  <si>
    <t xml:space="preserve">94760</t>
  </si>
  <si>
    <t xml:space="preserve">90471</t>
  </si>
  <si>
    <t xml:space="preserve">74022</t>
  </si>
  <si>
    <t xml:space="preserve">99282</t>
  </si>
  <si>
    <t xml:space="preserve">94640</t>
  </si>
  <si>
    <t xml:space="preserve">73110</t>
  </si>
  <si>
    <t xml:space="preserve">72128</t>
  </si>
  <si>
    <t xml:space="preserve">Computed tomography, thoracic spine</t>
  </si>
  <si>
    <t xml:space="preserve">{"description": "Computed tomography, thoracic spine"}</t>
  </si>
  <si>
    <t xml:space="preserve">93971</t>
  </si>
  <si>
    <t xml:space="preserve">70486</t>
  </si>
  <si>
    <t xml:space="preserve">87507</t>
  </si>
  <si>
    <t xml:space="preserve">L3809</t>
  </si>
  <si>
    <t xml:space="preserve">A4649</t>
  </si>
  <si>
    <t xml:space="preserve">12013</t>
  </si>
  <si>
    <t xml:space="preserve">73130</t>
  </si>
  <si>
    <t xml:space="preserve">A4467</t>
  </si>
  <si>
    <t xml:space="preserve">76830</t>
  </si>
  <si>
    <t xml:space="preserve">74019</t>
  </si>
  <si>
    <t xml:space="preserve">73610</t>
  </si>
  <si>
    <t xml:space="preserve">10120</t>
  </si>
  <si>
    <t xml:space="preserve">73630</t>
  </si>
  <si>
    <t xml:space="preserve">84484</t>
  </si>
  <si>
    <t xml:space="preserve">82553</t>
  </si>
  <si>
    <t xml:space="preserve">83874</t>
  </si>
  <si>
    <t xml:space="preserve">85379</t>
  </si>
  <si>
    <t xml:space="preserve">85025</t>
  </si>
  <si>
    <t xml:space="preserve">COMPLETE CBC W/AUTO DIFF WBC</t>
  </si>
  <si>
    <t xml:space="preserve">{"description": "COMPLETE CBC W/AUTO DIFF WBC"}</t>
  </si>
  <si>
    <t xml:space="preserve">29584</t>
  </si>
  <si>
    <t xml:space="preserve">80051</t>
  </si>
  <si>
    <t xml:space="preserve">ELECTROLYTE PANEL</t>
  </si>
  <si>
    <t xml:space="preserve">{"description": "ELECTROLYTE PANEL"}</t>
  </si>
  <si>
    <t xml:space="preserve">82550</t>
  </si>
  <si>
    <t xml:space="preserve">ASSAY OF CK (CPK)</t>
  </si>
  <si>
    <t xml:space="preserve">{"description": "ASSAY OF CK (CPK)"}</t>
  </si>
  <si>
    <t xml:space="preserve">82565</t>
  </si>
  <si>
    <t xml:space="preserve">ASSAY OF CREATININE</t>
  </si>
  <si>
    <t xml:space="preserve">{"description": "ASSAY OF CREATININE"}</t>
  </si>
  <si>
    <t xml:space="preserve">82947</t>
  </si>
  <si>
    <t xml:space="preserve">ASSAY, GLUCOSE, BLOOD QUANT</t>
  </si>
  <si>
    <t xml:space="preserve">{"description": "ASSAY, GLUCOSE, BLOOD QUANT"}</t>
  </si>
  <si>
    <t xml:space="preserve">84520</t>
  </si>
  <si>
    <t xml:space="preserve">ASSAY OF UREA NITROGEN</t>
  </si>
  <si>
    <t xml:space="preserve">{"description": "ASSAY OF UREA NITROGEN"}</t>
  </si>
  <si>
    <t xml:space="preserve">A4770</t>
  </si>
  <si>
    <t xml:space="preserve">A9150</t>
  </si>
  <si>
    <t xml:space="preserve">70490</t>
  </si>
  <si>
    <t xml:space="preserve">A4657</t>
  </si>
  <si>
    <t xml:space="preserve">SYRINGE WITH OR WITHOUT NEEDLE EACH</t>
  </si>
  <si>
    <t xml:space="preserve">{"description": "SYRINGE WITH OR WITHOUT NEEDLE EACH"}</t>
  </si>
  <si>
    <t xml:space="preserve">J7613</t>
  </si>
  <si>
    <t xml:space="preserve">A4616</t>
  </si>
  <si>
    <t xml:space="preserve">E0441</t>
  </si>
  <si>
    <t xml:space="preserve">86769</t>
  </si>
  <si>
    <t xml:space="preserve">87428</t>
  </si>
  <si>
    <t xml:space="preserve">A6453</t>
  </si>
  <si>
    <t xml:space="preserve">E1399</t>
  </si>
  <si>
    <t xml:space="preserve">Durable medical equipment, miscellaneous</t>
  </si>
  <si>
    <t xml:space="preserve">{"description": "Durable medical equipment, miscellaneous"}</t>
  </si>
  <si>
    <t xml:space="preserve">A4930</t>
  </si>
  <si>
    <t xml:space="preserve">GLOVES STERILE PER PAIR</t>
  </si>
  <si>
    <t xml:space="preserve">{"description": "GLOVES STERILE PER PAIR"}</t>
  </si>
  <si>
    <t xml:space="preserve">73562</t>
  </si>
  <si>
    <t xml:space="preserve">73080</t>
  </si>
  <si>
    <t xml:space="preserve">A6449</t>
  </si>
  <si>
    <t xml:space="preserve">A4223</t>
  </si>
  <si>
    <t xml:space="preserve">82247</t>
  </si>
  <si>
    <t xml:space="preserve">82040</t>
  </si>
  <si>
    <t xml:space="preserve">81003</t>
  </si>
  <si>
    <t xml:space="preserve">URINALYSIS, AUTO, W/O SCOPE</t>
  </si>
  <si>
    <t xml:space="preserve">{"description": "URINALYSIS, AUTO, W/O SCOPE"}</t>
  </si>
  <si>
    <t xml:space="preserve">84075</t>
  </si>
  <si>
    <t xml:space="preserve">84450</t>
  </si>
  <si>
    <t xml:space="preserve">82977</t>
  </si>
  <si>
    <t xml:space="preserve">84460</t>
  </si>
  <si>
    <t xml:space="preserve">82150</t>
  </si>
  <si>
    <t xml:space="preserve">ASSAY OF AMYLASE</t>
  </si>
  <si>
    <t xml:space="preserve">{"description": "ASSAY OF AMYLASE"}</t>
  </si>
  <si>
    <t xml:space="preserve">84155</t>
  </si>
  <si>
    <t xml:space="preserve">36000</t>
  </si>
  <si>
    <t xml:space="preserve">29125</t>
  </si>
  <si>
    <t xml:space="preserve">87880</t>
  </si>
  <si>
    <t xml:space="preserve">J8499</t>
  </si>
  <si>
    <t xml:space="preserve">12001</t>
  </si>
  <si>
    <t xml:space="preserve">REPAIR- TRUNK/SCALP/NECK/AXIL/LIMBS &lt;2.5</t>
  </si>
  <si>
    <t xml:space="preserve">{"description": "REPAIR- TRUNK/SCALP/NECK/AXIL/LIMBS &lt;2.5"}</t>
  </si>
  <si>
    <t xml:space="preserve">73140</t>
  </si>
  <si>
    <t xml:space="preserve">96360</t>
  </si>
  <si>
    <t xml:space="preserve">76882</t>
  </si>
  <si>
    <t xml:space="preserve">L4361</t>
  </si>
  <si>
    <t xml:space="preserve">72100</t>
  </si>
  <si>
    <t xml:space="preserve">A6203</t>
  </si>
  <si>
    <t xml:space="preserve">96523</t>
  </si>
  <si>
    <t xml:space="preserve">80053</t>
  </si>
  <si>
    <t xml:space="preserve">74018</t>
  </si>
  <si>
    <t xml:space="preserve">81025</t>
  </si>
  <si>
    <t xml:space="preserve">URINE PREGNANCY TEST</t>
  </si>
  <si>
    <t xml:space="preserve">{"description": "URINE PREGNANCY TEST"}</t>
  </si>
  <si>
    <t xml:space="preserve">80305</t>
  </si>
  <si>
    <t xml:space="preserve">72193</t>
  </si>
  <si>
    <t xml:space="preserve">87040</t>
  </si>
  <si>
    <t xml:space="preserve">87077</t>
  </si>
  <si>
    <t xml:space="preserve">87076</t>
  </si>
  <si>
    <t xml:space="preserve">93010</t>
  </si>
  <si>
    <t xml:space="preserve">G0328</t>
  </si>
  <si>
    <t xml:space="preserve">82270</t>
  </si>
  <si>
    <t xml:space="preserve">J1100</t>
  </si>
  <si>
    <t xml:space="preserve">36415</t>
  </si>
  <si>
    <t xml:space="preserve">80076</t>
  </si>
  <si>
    <t xml:space="preserve">HEPATIC FUNCTION PANEL</t>
  </si>
  <si>
    <t xml:space="preserve">{"description": "HEPATIC FUNCTION PANEL"}</t>
  </si>
  <si>
    <t xml:space="preserve">29505</t>
  </si>
  <si>
    <t xml:space="preserve">L1830</t>
  </si>
  <si>
    <t xml:space="preserve">73700</t>
  </si>
  <si>
    <t xml:space="preserve">99001</t>
  </si>
  <si>
    <t xml:space="preserve">87081</t>
  </si>
  <si>
    <t xml:space="preserve">A4452</t>
  </si>
  <si>
    <t xml:space="preserve">87184</t>
  </si>
  <si>
    <t xml:space="preserve">87591</t>
  </si>
  <si>
    <t xml:space="preserve">87491</t>
  </si>
  <si>
    <t xml:space="preserve">87086</t>
  </si>
  <si>
    <t xml:space="preserve">10061</t>
  </si>
  <si>
    <t xml:space="preserve">DRAINAGE OF SKIN ABSCESS</t>
  </si>
  <si>
    <t xml:space="preserve">{"description": "DRAINAGE OF SKIN ABSCESS"}</t>
  </si>
  <si>
    <t xml:space="preserve">83605</t>
  </si>
  <si>
    <t xml:space="preserve">82803</t>
  </si>
  <si>
    <t xml:space="preserve">73090</t>
  </si>
  <si>
    <t xml:space="preserve">29260</t>
  </si>
  <si>
    <t xml:space="preserve">86308</t>
  </si>
  <si>
    <t xml:space="preserve">L4360</t>
  </si>
  <si>
    <t xml:space="preserve">76856</t>
  </si>
  <si>
    <t xml:space="preserve">93975</t>
  </si>
  <si>
    <t xml:space="preserve">76937</t>
  </si>
  <si>
    <t xml:space="preserve">71260</t>
  </si>
  <si>
    <t xml:space="preserve">A4216</t>
  </si>
  <si>
    <t xml:space="preserve">G9315</t>
  </si>
  <si>
    <t xml:space="preserve">J0500</t>
  </si>
  <si>
    <t xml:space="preserve">96367</t>
  </si>
  <si>
    <t xml:space="preserve">99234</t>
  </si>
  <si>
    <t xml:space="preserve">12011</t>
  </si>
  <si>
    <t xml:space="preserve">71045</t>
  </si>
  <si>
    <t xml:space="preserve">70491</t>
  </si>
  <si>
    <t xml:space="preserve">J7512</t>
  </si>
  <si>
    <t xml:space="preserve">69200</t>
  </si>
  <si>
    <t xml:space="preserve">69210</t>
  </si>
  <si>
    <t xml:space="preserve">J7799</t>
  </si>
  <si>
    <t xml:space="preserve">J7620</t>
  </si>
  <si>
    <t xml:space="preserve">J7699</t>
  </si>
  <si>
    <t xml:space="preserve">Q0144</t>
  </si>
  <si>
    <t xml:space="preserve">J0696</t>
  </si>
  <si>
    <t xml:space="preserve">Injection, ceftriaxone sodium, per 250 mg</t>
  </si>
  <si>
    <t xml:space="preserve">{"description": "Injection, ceftriaxone sodium, per 250 mg"}</t>
  </si>
  <si>
    <t xml:space="preserve">64400</t>
  </si>
  <si>
    <t xml:space="preserve">A4245</t>
  </si>
  <si>
    <t xml:space="preserve">A4248</t>
  </si>
  <si>
    <t xml:space="preserve">CHLORHEXIDINE ANTISEPT</t>
  </si>
  <si>
    <t xml:space="preserve">{"description": "CHLORHEXIDINE ANTISEPT"}</t>
  </si>
  <si>
    <t xml:space="preserve">90715</t>
  </si>
  <si>
    <t xml:space="preserve">E0114</t>
  </si>
  <si>
    <t xml:space="preserve">J1885</t>
  </si>
  <si>
    <t xml:space="preserve">Injection, ketorolac tromethamine, per 15 mg</t>
  </si>
  <si>
    <t xml:space="preserve">{"description": "Injection, ketorolac tromethamine, per 15 mg"}</t>
  </si>
  <si>
    <t xml:space="preserve">A6413</t>
  </si>
  <si>
    <t xml:space="preserve">ADHESIVE BANDAGE, FIRST-AID</t>
  </si>
  <si>
    <t xml:space="preserve">{"description": "ADHESIVE BANDAGE, FIRST-AID"}</t>
  </si>
  <si>
    <t xml:space="preserve">A4215</t>
  </si>
  <si>
    <t xml:space="preserve">NEEDLES ONLY STERILE ANY SIZE EACH</t>
  </si>
  <si>
    <t xml:space="preserve">{"description": "NEEDLES ONLY STERILE ANY SIZE EACH"}</t>
  </si>
  <si>
    <t xml:space="preserve">A4566</t>
  </si>
  <si>
    <t xml:space="preserve">A9273</t>
  </si>
  <si>
    <t xml:space="preserve">97010</t>
  </si>
  <si>
    <t xml:space="preserve">A6454</t>
  </si>
  <si>
    <t xml:space="preserve">A6403</t>
  </si>
  <si>
    <t xml:space="preserve">83880</t>
  </si>
  <si>
    <t xml:space="preserve">J0131</t>
  </si>
  <si>
    <t xml:space="preserve">96376</t>
  </si>
  <si>
    <t xml:space="preserve">76536</t>
  </si>
  <si>
    <t xml:space="preserve">93040</t>
  </si>
  <si>
    <t xml:space="preserve">72072</t>
  </si>
  <si>
    <t xml:space="preserve">36416</t>
  </si>
  <si>
    <t xml:space="preserve">J8540</t>
  </si>
  <si>
    <t xml:space="preserve">A4305</t>
  </si>
  <si>
    <t xml:space="preserve">S1015</t>
  </si>
  <si>
    <t xml:space="preserve">J7030</t>
  </si>
  <si>
    <t xml:space="preserve">J2405</t>
  </si>
  <si>
    <t xml:space="preserve">J1200</t>
  </si>
  <si>
    <t xml:space="preserve">72131</t>
  </si>
  <si>
    <t xml:space="preserve">97116</t>
  </si>
  <si>
    <t xml:space="preserve">73590</t>
  </si>
  <si>
    <t xml:space="preserve">A4559</t>
  </si>
  <si>
    <t xml:space="preserve">J2550</t>
  </si>
  <si>
    <t xml:space="preserve">J1836</t>
  </si>
  <si>
    <t xml:space="preserve">J2270</t>
  </si>
  <si>
    <t xml:space="preserve">J7120</t>
  </si>
  <si>
    <t xml:space="preserve">S0164</t>
  </si>
  <si>
    <t xml:space="preserve">72040</t>
  </si>
  <si>
    <t xml:space="preserve">J2919</t>
  </si>
  <si>
    <t xml:space="preserve">S0028</t>
  </si>
  <si>
    <t xml:space="preserve">70360</t>
  </si>
  <si>
    <t xml:space="preserve">82948</t>
  </si>
  <si>
    <t xml:space="preserve">J3010</t>
  </si>
  <si>
    <t xml:space="preserve">J3490</t>
  </si>
  <si>
    <t xml:space="preserve">PHARMACY</t>
  </si>
  <si>
    <t xml:space="preserve">{"description": "PHARMACY"}</t>
  </si>
  <si>
    <t xml:space="preserve">J1170</t>
  </si>
  <si>
    <t xml:space="preserve">87205</t>
  </si>
  <si>
    <t xml:space="preserve">12002</t>
  </si>
  <si>
    <t xml:space="preserve">L3908</t>
  </si>
  <si>
    <t xml:space="preserve">J7050</t>
  </si>
  <si>
    <t xml:space="preserve">90714</t>
  </si>
  <si>
    <t xml:space="preserve">A4550</t>
  </si>
  <si>
    <t xml:space="preserve">A6250</t>
  </si>
  <si>
    <t xml:space="preserve">A4209</t>
  </si>
  <si>
    <t xml:space="preserve">A4246</t>
  </si>
  <si>
    <t xml:space="preserve">87661</t>
  </si>
  <si>
    <t xml:space="preserve">87563</t>
  </si>
  <si>
    <t xml:space="preserve">87798</t>
  </si>
  <si>
    <t xml:space="preserve">A9270</t>
  </si>
  <si>
    <t xml:space="preserve">J2543</t>
  </si>
  <si>
    <t xml:space="preserve">A4332</t>
  </si>
  <si>
    <t xml:space="preserve">84702</t>
  </si>
  <si>
    <t xml:space="preserve">76801</t>
  </si>
  <si>
    <t xml:space="preserve">86901</t>
  </si>
  <si>
    <t xml:space="preserve">76817</t>
  </si>
  <si>
    <t xml:space="preserve">86900</t>
  </si>
  <si>
    <t xml:space="preserve">J0171</t>
  </si>
  <si>
    <t xml:space="preserve">L3260</t>
  </si>
  <si>
    <t xml:space="preserve">76770</t>
  </si>
  <si>
    <t xml:space="preserve">29540</t>
  </si>
  <si>
    <t xml:space="preserve">29515</t>
  </si>
  <si>
    <t xml:space="preserve">S0119</t>
  </si>
  <si>
    <t xml:space="preserve">J0295</t>
  </si>
  <si>
    <t xml:space="preserve">29581</t>
  </si>
  <si>
    <t xml:space="preserve">87070</t>
  </si>
  <si>
    <t xml:space="preserve">87075</t>
  </si>
  <si>
    <t xml:space="preserve">A4217</t>
  </si>
  <si>
    <t xml:space="preserve">A6446</t>
  </si>
  <si>
    <t xml:space="preserve">A6219</t>
  </si>
  <si>
    <t xml:space="preserve">Q4018</t>
  </si>
  <si>
    <t xml:space="preserve">29105</t>
  </si>
  <si>
    <t xml:space="preserve">73010</t>
  </si>
  <si>
    <t xml:space="preserve">29130</t>
  </si>
  <si>
    <t xml:space="preserve">A4364</t>
  </si>
  <si>
    <t xml:space="preserve">A6407</t>
  </si>
  <si>
    <t xml:space="preserve">A6252</t>
  </si>
  <si>
    <t xml:space="preserve">71275</t>
  </si>
  <si>
    <t xml:space="preserve">76775</t>
  </si>
  <si>
    <t xml:space="preserve">G8598</t>
  </si>
  <si>
    <t xml:space="preserve">86803</t>
  </si>
  <si>
    <t xml:space="preserve">99292</t>
  </si>
  <si>
    <t xml:space="preserve">81513</t>
  </si>
  <si>
    <t xml:space="preserve">87481</t>
  </si>
  <si>
    <t xml:space="preserve">J0706</t>
  </si>
  <si>
    <t xml:space="preserve">J2470</t>
  </si>
  <si>
    <t xml:space="preserve">J2060</t>
  </si>
  <si>
    <t xml:space="preserve">A4253</t>
  </si>
  <si>
    <t xml:space="preserve">86695</t>
  </si>
  <si>
    <t xml:space="preserve">86696</t>
  </si>
  <si>
    <t xml:space="preserve">86592</t>
  </si>
  <si>
    <t xml:space="preserve">94664</t>
  </si>
  <si>
    <t xml:space="preserve">84439</t>
  </si>
  <si>
    <t xml:space="preserve">73660</t>
  </si>
  <si>
    <t xml:space="preserve">84436</t>
  </si>
  <si>
    <t xml:space="preserve">84443</t>
  </si>
  <si>
    <t xml:space="preserve">84479</t>
  </si>
  <si>
    <t xml:space="preserve">A4615</t>
  </si>
  <si>
    <t xml:space="preserve">A7015</t>
  </si>
  <si>
    <t xml:space="preserve">J1650</t>
  </si>
  <si>
    <t xml:space="preserve">J0736</t>
  </si>
  <si>
    <t xml:space="preserve">73620</t>
  </si>
  <si>
    <t xml:space="preserve">A4244</t>
  </si>
  <si>
    <t xml:space="preserve">94762</t>
  </si>
  <si>
    <t xml:space="preserve">J7999</t>
  </si>
  <si>
    <t xml:space="preserve">64450</t>
  </si>
  <si>
    <t xml:space="preserve">11740</t>
  </si>
  <si>
    <t xml:space="preserve">87529</t>
  </si>
  <si>
    <t xml:space="preserve">87265</t>
  </si>
  <si>
    <t xml:space="preserve">87580</t>
  </si>
  <si>
    <t xml:space="preserve">87420</t>
  </si>
  <si>
    <t xml:space="preserve">99235</t>
  </si>
  <si>
    <t xml:space="preserve">86677</t>
  </si>
  <si>
    <t xml:space="preserve">93976</t>
  </si>
  <si>
    <t xml:space="preserve">29280</t>
  </si>
  <si>
    <t xml:space="preserve">J3480</t>
  </si>
  <si>
    <t xml:space="preserve">83735</t>
  </si>
  <si>
    <t xml:space="preserve">80048</t>
  </si>
  <si>
    <t xml:space="preserve">87631</t>
  </si>
  <si>
    <t xml:space="preserve">87635</t>
  </si>
  <si>
    <t xml:space="preserve">85045</t>
  </si>
  <si>
    <t xml:space="preserve">J2490</t>
  </si>
  <si>
    <t xml:space="preserve">12004</t>
  </si>
  <si>
    <t xml:space="preserve">J7510</t>
  </si>
  <si>
    <t xml:space="preserve">93970</t>
  </si>
  <si>
    <t xml:space="preserve">93041</t>
  </si>
  <si>
    <t xml:space="preserve">A6222</t>
  </si>
  <si>
    <t xml:space="preserve">85610</t>
  </si>
  <si>
    <t xml:space="preserve">J0744</t>
  </si>
  <si>
    <t xml:space="preserve">10060</t>
  </si>
  <si>
    <t xml:space="preserve">73200</t>
  </si>
  <si>
    <t xml:space="preserve">70496</t>
  </si>
  <si>
    <t xml:space="preserve">70498</t>
  </si>
  <si>
    <t xml:space="preserve">23650</t>
  </si>
  <si>
    <t xml:space="preserve">74178</t>
  </si>
  <si>
    <t xml:space="preserve">28190</t>
  </si>
  <si>
    <t xml:space="preserve">29550</t>
  </si>
  <si>
    <t xml:space="preserve">80320</t>
  </si>
  <si>
    <t xml:space="preserve">12032</t>
  </si>
  <si>
    <t xml:space="preserve">99222</t>
  </si>
  <si>
    <t xml:space="preserve">76857</t>
  </si>
  <si>
    <t xml:space="preserve">86735</t>
  </si>
  <si>
    <t xml:space="preserve">73120</t>
  </si>
  <si>
    <t xml:space="preserve">93931</t>
  </si>
  <si>
    <t xml:space="preserve">11760</t>
  </si>
  <si>
    <t xml:space="preserve">73502</t>
  </si>
  <si>
    <t xml:space="preserve">72192</t>
  </si>
  <si>
    <t xml:space="preserve">95992</t>
  </si>
  <si>
    <t xml:space="preserve">12052</t>
  </si>
  <si>
    <t xml:space="preserve">80143</t>
  </si>
  <si>
    <t xml:space="preserve">87181</t>
  </si>
  <si>
    <t xml:space="preserve">A4316</t>
  </si>
  <si>
    <t xml:space="preserve">J8498</t>
  </si>
  <si>
    <t xml:space="preserve">16020</t>
  </si>
  <si>
    <t xml:space="preserve">86140</t>
  </si>
  <si>
    <t xml:space="preserve">85652</t>
  </si>
  <si>
    <t xml:space="preserve">71101</t>
  </si>
  <si>
    <t xml:space="preserve">76641</t>
  </si>
  <si>
    <t xml:space="preserve">21480</t>
  </si>
  <si>
    <t xml:space="preserve">12014</t>
  </si>
  <si>
    <t xml:space="preserve">A6251</t>
  </si>
  <si>
    <t xml:space="preserve">A6196</t>
  </si>
  <si>
    <t xml:space="preserve">J1308</t>
  </si>
  <si>
    <t xml:space="preserve">87506</t>
  </si>
  <si>
    <t xml:space="preserve">A4301</t>
  </si>
  <si>
    <t xml:space="preserve">74175</t>
  </si>
  <si>
    <t xml:space="preserve">73100</t>
  </si>
  <si>
    <t xml:space="preserve">25605</t>
  </si>
  <si>
    <t xml:space="preserve">99152</t>
  </si>
  <si>
    <t xml:space="preserve">99153</t>
  </si>
  <si>
    <t xml:space="preserve">75989</t>
  </si>
  <si>
    <t xml:space="preserve">30300</t>
  </si>
  <si>
    <t xml:space="preserve">73070</t>
  </si>
  <si>
    <t xml:space="preserve">24600</t>
  </si>
  <si>
    <t xml:space="preserve">A6457</t>
  </si>
  <si>
    <t xml:space="preserve">10021</t>
  </si>
  <si>
    <t xml:space="preserve">29240</t>
  </si>
  <si>
    <t xml:space="preserve">73060</t>
  </si>
  <si>
    <t xml:space="preserve">Q9963</t>
  </si>
  <si>
    <t xml:space="preserve">J1815</t>
  </si>
  <si>
    <t xml:space="preserve">J1010</t>
  </si>
  <si>
    <t xml:space="preserve">30901</t>
  </si>
  <si>
    <t xml:space="preserve">J2930</t>
  </si>
  <si>
    <t xml:space="preserve">Q4049</t>
  </si>
  <si>
    <t xml:space="preserve">82105</t>
  </si>
  <si>
    <t xml:space="preserve">82378</t>
  </si>
  <si>
    <t xml:space="preserve">86304</t>
  </si>
  <si>
    <t xml:space="preserve">82747</t>
  </si>
  <si>
    <t xml:space="preserve">87389</t>
  </si>
  <si>
    <t xml:space="preserve">86708</t>
  </si>
  <si>
    <t xml:space="preserve">86706</t>
  </si>
  <si>
    <t xml:space="preserve">87340</t>
  </si>
  <si>
    <t xml:space="preserve">86704</t>
  </si>
  <si>
    <t xml:space="preserve">83036</t>
  </si>
  <si>
    <t xml:space="preserve">J0616</t>
  </si>
  <si>
    <t xml:space="preserve">76700</t>
  </si>
  <si>
    <t xml:space="preserve">84156</t>
  </si>
  <si>
    <t xml:space="preserve">82570</t>
  </si>
  <si>
    <t xml:space="preserve">99238</t>
  </si>
  <si>
    <t xml:space="preserve">20610</t>
  </si>
  <si>
    <t xml:space="preserve">84550</t>
  </si>
  <si>
    <t xml:space="preserve">70110</t>
  </si>
  <si>
    <t xml:space="preserve">70480</t>
  </si>
  <si>
    <t xml:space="preserve">73600</t>
  </si>
  <si>
    <t xml:space="preserve">51702</t>
  </si>
  <si>
    <t xml:space="preserve">43752</t>
  </si>
  <si>
    <t xml:space="preserve">12051</t>
  </si>
  <si>
    <t xml:space="preserve">65222</t>
  </si>
  <si>
    <t xml:space="preserve">84481</t>
  </si>
  <si>
    <t xml:space="preserve">76805</t>
  </si>
  <si>
    <t xml:space="preserve">70487</t>
  </si>
  <si>
    <t xml:space="preserve">11730</t>
  </si>
  <si>
    <t xml:space="preserve">70488</t>
  </si>
  <si>
    <t xml:space="preserve">11750</t>
  </si>
  <si>
    <t xml:space="preserve">16025</t>
  </si>
  <si>
    <t xml:space="preserve">Holiday</t>
  </si>
  <si>
    <t xml:space="preserve">2026-01-01</t>
  </si>
  <si>
    <t xml:space="preserve">New Year's Day</t>
  </si>
  <si>
    <t xml:space="preserve">2026-01-19</t>
  </si>
  <si>
    <t xml:space="preserve">Birthday of Martin Luther King, Jr.</t>
  </si>
  <si>
    <t xml:space="preserve">2026-02-16</t>
  </si>
  <si>
    <t xml:space="preserve">Washington's Birthday</t>
  </si>
  <si>
    <t xml:space="preserve">2026-05-25</t>
  </si>
  <si>
    <t xml:space="preserve">Memorial Day</t>
  </si>
  <si>
    <t xml:space="preserve">2026-06-19</t>
  </si>
  <si>
    <t xml:space="preserve">Juneteenth National Independence Day</t>
  </si>
  <si>
    <t xml:space="preserve">2026-07-03</t>
  </si>
  <si>
    <t xml:space="preserve">Independence Day (observed)</t>
  </si>
  <si>
    <t xml:space="preserve">2026-09-07</t>
  </si>
  <si>
    <t xml:space="preserve">Labor Day</t>
  </si>
  <si>
    <t xml:space="preserve">2026-10-12</t>
  </si>
  <si>
    <t xml:space="preserve">Columbus Day</t>
  </si>
  <si>
    <t xml:space="preserve">2026-11-11</t>
  </si>
  <si>
    <t xml:space="preserve">Veterans Day</t>
  </si>
  <si>
    <t xml:space="preserve">2026-11-26</t>
  </si>
  <si>
    <t xml:space="preserve">Thanksgiving Day</t>
  </si>
  <si>
    <t xml:space="preserve">2026-12-25</t>
  </si>
  <si>
    <t xml:space="preserve">Christmas Day</t>
  </si>
  <si>
    <t xml:space="preserve">2027-01-01</t>
  </si>
  <si>
    <t xml:space="preserve">2027-01-18</t>
  </si>
  <si>
    <t xml:space="preserve">2027-02-15</t>
  </si>
  <si>
    <t xml:space="preserve">2027-05-31</t>
  </si>
  <si>
    <t xml:space="preserve">2027-06-18</t>
  </si>
  <si>
    <t xml:space="preserve">Juneteenth National Independence Day (observed)</t>
  </si>
  <si>
    <t xml:space="preserve">2027-07-05</t>
  </si>
  <si>
    <t xml:space="preserve">2027-09-06</t>
  </si>
  <si>
    <t xml:space="preserve">2027-10-11</t>
  </si>
  <si>
    <t xml:space="preserve">2027-11-11</t>
  </si>
  <si>
    <t xml:space="preserve">2027-11-25</t>
  </si>
  <si>
    <t xml:space="preserve">2027-12-24</t>
  </si>
  <si>
    <t xml:space="preserve">Christmas Day (observed)</t>
  </si>
  <si>
    <t xml:space="preserve">2027-12-31</t>
  </si>
  <si>
    <t xml:space="preserve">New Year's Day 2028 (observed)</t>
  </si>
  <si>
    <t xml:space="preserve">2028 not seeded yet.</t>
  </si>
  <si>
    <t xml:space="preserve">(none – learned on save; "Add new")</t>
  </si>
  <si>
    <t xml:space="preserve">learned</t>
  </si>
  <si>
    <t xml:space="preserve">(none – learned on save; "Add new", valid email; was Owner)</t>
  </si>
  <si>
    <t xml:space="preserve">Suggestions also include active Users.</t>
  </si>
  <si>
    <t xml:space="preserve">Admin</t>
  </si>
  <si>
    <t xml:space="preserve">(v3 list: migrated to the Users tab by setup(), then hidden)</t>
  </si>
  <si>
    <t xml:space="preserve">Replaced by the Users tab (Role Admin / US Member).</t>
  </si>
  <si>
    <t xml:space="preserve">UsDeskUser</t>
  </si>
  <si>
    <t xml:space="preserve">Note</t>
  </si>
  <si>
    <t xml:space="preserve">Seed rows exactly as setup() writes them to the Options tab (637 rows, from Code.gs seedRows_). Billing entities are no longer here: see BillingEntities. Columns on the tab: List, Key, Value, Label, Data, Count, LastUsed, Source, Status, Sort, Strict, AddedBy, AddedAt.</t>
  </si>
  <si>
    <t xml:space="preserve">Name (non-initiating party)</t>
  </si>
  <si>
    <t xml:space="preserve">Aliases</t>
  </si>
  <si>
    <t xml:space="preserve">Times seen (4 notices)</t>
  </si>
  <si>
    <t xml:space="preserve">Seen on dispute</t>
  </si>
  <si>
    <t xml:space="preserve">Portal name check</t>
  </si>
  <si>
    <t xml:space="preserve">PO BOX 660044</t>
  </si>
  <si>
    <t xml:space="preserve">Dallas</t>
  </si>
  <si>
    <t xml:space="preserve">75266</t>
  </si>
  <si>
    <t xml:space="preserve">nsa.disputes@bcbstx.com</t>
  </si>
  <si>
    <t xml:space="preserve">(800) 451-0287</t>
  </si>
  <si>
    <t xml:space="preserve">DISP-7998956</t>
  </si>
  <si>
    <t xml:space="preserve">P.O. BOX 182223</t>
  </si>
  <si>
    <t xml:space="preserve">CHATTANOOGA</t>
  </si>
  <si>
    <t xml:space="preserve">37422-7223</t>
  </si>
  <si>
    <t xml:space="preserve">nsaidr@multiplan.com</t>
  </si>
  <si>
    <t xml:space="preserve">(800) 244-6224</t>
  </si>
  <si>
    <t xml:space="preserve">DISP-7997846</t>
  </si>
  <si>
    <t xml:space="preserve">Invalid characters</t>
  </si>
  <si>
    <t xml:space="preserve">Contact details needed. Alias of HealthNow: hidden row with Data.mergedInto = HealthNow (Code.gs SEED_ALIASES).</t>
  </si>
  <si>
    <t xml:space="preserve">PO Box 30783</t>
  </si>
  <si>
    <t xml:space="preserve">Salt Lake City</t>
  </si>
  <si>
    <t xml:space="preserve">84130-0783</t>
  </si>
  <si>
    <t xml:space="preserve">uhg_idr_disputes@uhc.com</t>
  </si>
  <si>
    <t xml:space="preserve">(877) 842-3210</t>
  </si>
  <si>
    <t xml:space="preserve">DISP-7984427</t>
  </si>
  <si>
    <t xml:space="preserve">PO BOX 30541</t>
  </si>
  <si>
    <t xml:space="preserve">SALT LAKE CITY</t>
  </si>
  <si>
    <t xml:space="preserve">84130</t>
  </si>
  <si>
    <t xml:space="preserve">idr@clearhealthcloud.com</t>
  </si>
  <si>
    <t xml:space="preserve">(877) 233-1800</t>
  </si>
  <si>
    <t xml:space="preserve">DISP-7986216</t>
  </si>
  <si>
    <t xml:space="preserve">Names exactly as given by the business. Profiles kept from the 4 notices: UMR, UHC (was "United Healthcare"), BCBS (was "BLUECROSS BLUESHIELD"), Cigna. The other 120 payers have no contact details yet; they are learned on first save.</t>
  </si>
  <si>
    <t xml:space="preserve">Name</t>
  </si>
  <si>
    <t xml:space="preserve">TIN</t>
  </si>
  <si>
    <t xml:space="preserve">NPI</t>
  </si>
  <si>
    <t xml:space="preserve">GroupName</t>
  </si>
  <si>
    <t xml:space="preserve">Addr1</t>
  </si>
  <si>
    <t xml:space="preserve">Addr2</t>
  </si>
  <si>
    <t xml:space="preserve">ZIP</t>
  </si>
  <si>
    <t xml:space="preserve">Confirmed</t>
  </si>
  <si>
    <t xml:space="preserve">Count</t>
  </si>
  <si>
    <t xml:space="preserve">LastUsed</t>
  </si>
  <si>
    <t xml:space="preserve">AddedBy</t>
  </si>
  <si>
    <t xml:space="preserve">AddedAt</t>
  </si>
  <si>
    <t xml:space="preserve">Jade Medical, PLLC</t>
  </si>
  <si>
    <t xml:space="preserve">setup</t>
  </si>
  <si>
    <t xml:space="preserve">(setup time)</t>
  </si>
  <si>
    <t xml:space="preserve">ActingAs is a guess from the legal suffix (PLLC -&gt; provider, LLC -&gt; facility); Confirmed No until a saved dispute confirms it. TIN, NPI, GroupName and contact needed (learned on first save or entered in Admin -&gt; Billing entities).</t>
  </si>
  <si>
    <t xml:space="preserve">Deerfield plains, LLC</t>
  </si>
  <si>
    <t xml:space="preserve">ActingAs is a guess from the legal suffix (PLLC -&gt; provider, LLC -&gt; facility); Confirmed No until a saved dispute confirms it. TIN, NPI, GroupName and contact needed (learned on first save or entered in Admin -&gt; Billing entities). Possible typo to confirm (not changed): Lower-case "plains" (Deerfield Plains?).</t>
  </si>
  <si>
    <t xml:space="preserve">CareMed, PLLC</t>
  </si>
  <si>
    <t xml:space="preserve">Sycamore Rush, LLC</t>
  </si>
  <si>
    <t xml:space="preserve">WRFER University, LLC</t>
  </si>
  <si>
    <t xml:space="preserve">ActingAs is a guess from the legal suffix (PLLC -&gt; provider, LLC -&gt; facility); Confirmed No until a saved dispute confirms it. TIN, NPI, GroupName and contact needed (learned on first save or entered in Admin -&gt; Billing entities). Possible typo to confirm (not changed): "WRFER" vs "WFRER" in WFRER Denton and WFRER Cooper.</t>
  </si>
  <si>
    <t xml:space="preserve">Windview First, PLLC</t>
  </si>
  <si>
    <t xml:space="preserve">Capital Health, PLLC</t>
  </si>
  <si>
    <t xml:space="preserve">872524265</t>
  </si>
  <si>
    <t xml:space="preserve">1609548056</t>
  </si>
  <si>
    <t xml:space="preserve">Totalcare ER, Cedar Hill</t>
  </si>
  <si>
    <t xml:space="preserve">6049 S. Hulen St.</t>
  </si>
  <si>
    <t xml:space="preserve">Fort Worth</t>
  </si>
  <si>
    <t xml:space="preserve">76132</t>
  </si>
  <si>
    <t xml:space="preserve">cedarhill.negotiations@totalcare.us</t>
  </si>
  <si>
    <t xml:space="preserve">(817) 566-1232</t>
  </si>
  <si>
    <t xml:space="preserve">CAPITAL HEALTH PLLC</t>
  </si>
  <si>
    <t xml:space="preserve">ActingAs confirmed by the 4 notices. v2 spellings kept in Aliases.</t>
  </si>
  <si>
    <t xml:space="preserve">Silver Alliance, LLC</t>
  </si>
  <si>
    <t xml:space="preserve">862923814</t>
  </si>
  <si>
    <t xml:space="preserve">1972273233</t>
  </si>
  <si>
    <t xml:space="preserve">SILVER ALLIANCE LLC; SILVER ALLIANCE,LLC</t>
  </si>
  <si>
    <t xml:space="preserve">ActingAs confirmed by the 4 notices. v2 spellings kept in Aliases. GroupName missing; now required on page 3.</t>
  </si>
  <si>
    <t xml:space="preserve">Trans Oakley, LLC</t>
  </si>
  <si>
    <t xml:space="preserve">Eastern Elm, PLLC</t>
  </si>
  <si>
    <t xml:space="preserve">Lakewood Green, LLC</t>
  </si>
  <si>
    <t xml:space="preserve">Silver choice, PLLC</t>
  </si>
  <si>
    <t xml:space="preserve">ActingAs is a guess from the legal suffix (PLLC -&gt; provider, LLC -&gt; facility); Confirmed No until a saved dispute confirms it. TIN, NPI, GroupName and contact needed (learned on first save or entered in Admin -&gt; Billing entities). Possible typo to confirm (not changed): Lower-case "choice" (Silver Choice?).</t>
  </si>
  <si>
    <t xml:space="preserve">Greenwood South, LLC</t>
  </si>
  <si>
    <t xml:space="preserve">Aspen Willow, PLLC</t>
  </si>
  <si>
    <t xml:space="preserve">RSER Benbrook, LLC</t>
  </si>
  <si>
    <t xml:space="preserve">ActingAs is a guess from the legal suffix (PLLC -&gt; provider, LLC -&gt; facility); Confirmed No until a saved dispute confirms it. TIN, NPI, GroupName and contact needed (learned on first save or entered in Admin -&gt; Billing entities). Possible typo to confirm (not changed): "RSER" (compare TotalCare ER Benbrook, PLLC).</t>
  </si>
  <si>
    <t xml:space="preserve">TotalCare ER Benbrook, PLLC</t>
  </si>
  <si>
    <t xml:space="preserve">Cedar Physcians, PLLC</t>
  </si>
  <si>
    <t xml:space="preserve">ActingAs is a guess from the legal suffix (PLLC -&gt; provider, LLC -&gt; facility); Confirmed No until a saved dispute confirms it. TIN, NPI, GroupName and contact needed (learned on first save or entered in Admin -&gt; Billing entities). Possible typo to confirm (not changed): "Physcians" (Physicians?).</t>
  </si>
  <si>
    <t xml:space="preserve">WFRER Denton, LLC</t>
  </si>
  <si>
    <t xml:space="preserve">Sun Choice, PLLC</t>
  </si>
  <si>
    <t xml:space="preserve">WFRER Cooper, LLC</t>
  </si>
  <si>
    <t xml:space="preserve">Greenview Physicians, PLLC</t>
  </si>
  <si>
    <t xml:space="preserve">Hillside Alliance, LLC</t>
  </si>
  <si>
    <t xml:space="preserve">Everwell Medical, PLLC</t>
  </si>
  <si>
    <t xml:space="preserve">Gracious Health, LLC</t>
  </si>
  <si>
    <t xml:space="preserve">Seed rows of the BillingEntities tab exactly as setup() writes them (Code.gs seedEntityRows_). setup() moves v3 BillingEntity rows from Options here (Data JSON -&gt; columns, alias rows -&gt; Aliases). Legal names exactly as given; not corrected.</t>
  </si>
  <si>
    <t xml:space="preserve">Code</t>
  </si>
  <si>
    <t xml:space="preserve">Description (label)</t>
  </si>
  <si>
    <t xml:space="preserve">Times seen</t>
  </si>
  <si>
    <t xml:space="preserve">Lines with a QPA</t>
  </si>
  <si>
    <t xml:space="preserve">QPA min</t>
  </si>
  <si>
    <t xml:space="preserve">QPA max</t>
  </si>
  <si>
    <t xml:space="preserve">Typical QPA range seen</t>
  </si>
  <si>
    <t xml:space="preserve">Format check (5 alphanumeric)</t>
  </si>
  <si>
    <t xml:space="preserve">seed (business list)</t>
  </si>
  <si>
    <t xml:space="preserve">seed + observed</t>
  </si>
  <si>
    <t xml:space="preserve">373 codes from the business list, in the order given. Descriptions only for the 29 codes seen on the 4 notices; the rest are learned on first save. 99281 removed (not in the list). Times seen, QPA min and QPA max are formulas over Observed lines; lines with a blank QPA (DISP-7998956 lines 2–11) count as seen but are left out of the range.</t>
  </si>
  <si>
    <t xml:space="preserve">Portal field</t>
  </si>
  <si>
    <t xml:space="preserve">Observed value</t>
  </si>
  <si>
    <t xml:space="preserve">Out of</t>
  </si>
  <si>
    <t xml:space="preserve">Share</t>
  </si>
  <si>
    <t xml:space="preserve">Unit</t>
  </si>
  <si>
    <t xml:space="preserve">Studio action (v3)</t>
  </si>
  <si>
    <t xml:space="preserve">notices</t>
  </si>
  <si>
    <t xml:space="preserve">Default No; Yes = hard stop.</t>
  </si>
  <si>
    <t xml:space="preserve">Locked chip from the billing entity (2 options only).</t>
  </si>
  <si>
    <t xml:space="preserve">Tax ID / NPI</t>
  </si>
  <si>
    <t xml:space="preserve">Facility 862923814 / 1972273233</t>
  </si>
  <si>
    <t xml:space="preserve">Filled from the billing entity; at least one required.</t>
  </si>
  <si>
    <t xml:space="preserve">Provider 872524265 / 1609548056</t>
  </si>
  <si>
    <t xml:space="preserve">Health Plan Type</t>
  </si>
  <si>
    <t xml:space="preserve">Default of the strict 7-option dropdown.</t>
  </si>
  <si>
    <t xml:space="preserve">09/01/2026 (filed 10/15/2026)</t>
  </si>
  <si>
    <t xml:space="preserve">Filed on business day 31, the first day of the window (start date = day 1).</t>
  </si>
  <si>
    <t xml:space="preserve">09/02/2026 (filed 10/16/2026)</t>
  </si>
  <si>
    <t xml:space="preserve">Proof of open negotiation</t>
  </si>
  <si>
    <t xml:space="preserve">"OMB &lt;account&gt;.pdf"</t>
  </si>
  <si>
    <t xml:space="preserve">Keep upload; suggest a name.</t>
  </si>
  <si>
    <t xml:space="preserve">"PROOF &lt;account&gt;.png"</t>
  </si>
  <si>
    <t xml:space="preserve">"&lt;date&gt; LLC NSA NEG LETTER C &lt;account&gt;.pdf"</t>
  </si>
  <si>
    <t xml:space="preserve">Consent to waive surprise billing protections</t>
  </si>
  <si>
    <t xml:space="preserve">dispute_type default batched.</t>
  </si>
  <si>
    <t xml:space="preserve">Single dispute</t>
  </si>
  <si>
    <t xml:space="preserve">Migrates to single + bundled No. That notice has 11 lines: under v3 rules a Single – Not Bundled dispute has exactly 1 line (V52).</t>
  </si>
  <si>
    <t xml:space="preserve">Health care provider name</t>
  </si>
  <si>
    <t xml:space="preserve">SILVER ALLIANCE LLC (incl. 1 written "SILVER ALLIANCE,LLC")</t>
  </si>
  <si>
    <t xml:space="preserve">Aliases of "Silver Alliance, LLC".</t>
  </si>
  <si>
    <t xml:space="preserve">Alias of "Capital Health, PLLC".</t>
  </si>
  <si>
    <t xml:space="preserve">Hospital, Health Care Facility or Group Name</t>
  </si>
  <si>
    <t xml:space="preserve">Now required. Silver Alliance, LLC has none (Open questions).</t>
  </si>
  <si>
    <t xml:space="preserve">Provider address / email / phone</t>
  </si>
  <si>
    <t xml:space="preserve">6049 S. Hulen St., Fort Worth TX 76132; cedarhill.negotiations@totalcare.us; (817) 566-1232</t>
  </si>
  <si>
    <t xml:space="preserve">Filled from the billing entity. No fax.</t>
  </si>
  <si>
    <t xml:space="preserve">Points of contact (provider and plan)</t>
  </si>
  <si>
    <t xml:space="preserve">Empty</t>
  </si>
  <si>
    <t xml:space="preserve">Collapse the POC sections by default.</t>
  </si>
  <si>
    <t xml:space="preserve">Health Insurance Plan or Company</t>
  </si>
  <si>
    <t xml:space="preserve">Payer UMR.</t>
  </si>
  <si>
    <t xml:space="preserve">Payer BCBS.</t>
  </si>
  <si>
    <t xml:space="preserve">Payer Cigna.</t>
  </si>
  <si>
    <t xml:space="preserve">Payer UHC.</t>
  </si>
  <si>
    <t xml:space="preserve">Claim number and date of service</t>
  </si>
  <si>
    <t xml:space="preserve">One claim per dispute</t>
  </si>
  <si>
    <t xml:space="preserve">Add-line copies claim number, date and QPA doc.</t>
  </si>
  <si>
    <t xml:space="preserve">QPA documentation</t>
  </si>
  <si>
    <t xml:space="preserve">One EOB file per claim</t>
  </si>
  <si>
    <t xml:space="preserve">One upload covers all lines of the claim.</t>
  </si>
  <si>
    <t xml:space="preserve">Cost sharing + initial payment = QPA</t>
  </si>
  <si>
    <t xml:space="preserve">True</t>
  </si>
  <si>
    <t xml:space="preserve">lines with values</t>
  </si>
  <si>
    <t xml:space="preserve">Suggest initial = QPA − cost sharing; warn when it does not add up.</t>
  </si>
  <si>
    <t xml:space="preserve">Type of item or service</t>
  </si>
  <si>
    <t xml:space="preserve">Default.</t>
  </si>
  <si>
    <t xml:space="preserve">Optional; 0–4 two-character codes.</t>
  </si>
  <si>
    <t xml:space="preserve">Place of Service Code</t>
  </si>
  <si>
    <t xml:space="preserve">Default 23.</t>
  </si>
  <si>
    <t xml:space="preserve">Location of Service</t>
  </si>
  <si>
    <t xml:space="preserve">Fixed TX.</t>
  </si>
  <si>
    <t xml:space="preserve">Additional supporting documentation</t>
  </si>
  <si>
    <t xml:space="preserve">"UB04 Form C-&lt;account&gt;.pdf"</t>
  </si>
  <si>
    <t xml:space="preserve">Keep upload.</t>
  </si>
  <si>
    <t xml:space="preserve">IDRE legal business name</t>
  </si>
  <si>
    <t xml:space="preserve">idr_entity default = most used.</t>
  </si>
  <si>
    <t xml:space="preserve">Third party question</t>
  </si>
  <si>
    <t xml:space="preserve">third_party_attest default No.</t>
  </si>
  <si>
    <t xml:space="preserve">Data quality</t>
  </si>
  <si>
    <t xml:space="preserve">Line with blank claim number, date, QPA, POS and location</t>
  </si>
  <si>
    <t xml:space="preserve">Required on every line. All blanks are DISP-7998956 lines 2–11.</t>
  </si>
  <si>
    <t xml:space="preserve">Lines per dispute</t>
  </si>
  <si>
    <t xml:space="preserve">4, 7, 13 and 11 lines</t>
  </si>
  <si>
    <t xml:space="preserve">lines in 4 notices</t>
  </si>
  <si>
    <t xml:space="preserve">Batched: 2–50 lines; single not bundled: 1 line.</t>
  </si>
  <si>
    <t xml:space="preserve">Timing bands (computed)</t>
  </si>
  <si>
    <t xml:space="preserve">ON start 09/01/2026 (day 1): ON ends 10/14/2026 (day 30); window 10/15/2026 to 10/20/2026 (days 31–34); extension needed from 10/21/2026 (day 35)</t>
  </si>
  <si>
    <t xml:space="preserve">businessDeadline_: onEnds 10/14/2026, opens 10/15/2026, initiateBy 10/20/2026. Labor Day and Columbus Day skipped. Matches the real filing on 10/15/2026.</t>
  </si>
  <si>
    <t xml:space="preserve">ON start 09/02/2026 (day 1): ON ends 10/15/2026 (day 30); window 10/16/2026 to 10/21/2026 (days 31–34); extension needed from 10/22/2026 (day 35)</t>
  </si>
  <si>
    <t xml:space="preserve">businessDeadline_: onEnds 10/15/2026, opens 10/16/2026, initiateBy 10/21/2026. Labor Day and Columbus Day skipped. Matches the real filing on 10/16/2026.</t>
  </si>
  <si>
    <t xml:space="preserve">Dispute ref</t>
  </si>
  <si>
    <t xml:space="preserve">Payer (as on notice)</t>
  </si>
  <si>
    <t xml:space="preserve">Billing entity (as on notice)</t>
  </si>
  <si>
    <t xml:space="preserve">Line no</t>
  </si>
  <si>
    <t xml:space="preserve">Description</t>
  </si>
  <si>
    <t xml:space="preserve">Service code</t>
  </si>
  <si>
    <t xml:space="preserve">QPA</t>
  </si>
  <si>
    <t xml:space="preserve">Cost sharing</t>
  </si>
  <si>
    <t xml:space="preserve">Initial payment</t>
  </si>
  <si>
    <t xml:space="preserve">Item type</t>
  </si>
  <si>
    <t xml:space="preserve">POS</t>
  </si>
  <si>
    <t xml:space="preserve">Location</t>
  </si>
  <si>
    <t xml:space="preserve">IDR entity</t>
  </si>
  <si>
    <t xml:space="preserve">Data-quality flag</t>
  </si>
  <si>
    <t xml:space="preserve">SILVER ALLIANCE LLC</t>
  </si>
  <si>
    <t xml:space="preserve">SILVER ALLIANCE,LLC</t>
  </si>
  <si>
    <t xml:space="preserve">Entity name written "SILVER ALLIANCE,LLC".</t>
  </si>
  <si>
    <t xml:space="preserve">Blank claim number; blank date of service; QPA "$" only; no QPA documentation; cost sharing "$" only; initial payment "N/A"; blank POS; blank location.</t>
  </si>
  <si>
    <t xml:space="preserve">Requirement</t>
  </si>
  <si>
    <t xml:space="preserve">Acceptance criteria</t>
  </si>
  <si>
    <t xml:space="preserve">Priority</t>
  </si>
  <si>
    <t xml:space="preserve">L01</t>
  </si>
  <si>
    <t xml:space="preserve">The Options tab is the single source for every list except billing entities (BillingEntities tab). Columns: List | Key | Value | Label | Data | Count | LastUsed | Source | Status | Sort | Strict | AddedBy | AddedAt. Code.gs BUILTIN_LISTS are only a fallback seed when a list is missing or has no active value.</t>
  </si>
  <si>
    <t xml:space="preserve">Changing a label on the Options tab shows in getBootstrap after the cache clears.</t>
  </si>
  <si>
    <t xml:space="preserve">Do first</t>
  </si>
  <si>
    <t xml:space="preserve">L02</t>
  </si>
  <si>
    <t xml:space="preserve">Combo fields with suggestions ranked by Count then LastUsed: plan_name (Payer), prov_name (BillingEntities), idr_entity, service_code, modifiers, pos_code, ReturnReason. Team and RCM Specialist are searchable boxes with "Add new". Strict lists (Strict = Yes) and State never learn.</t>
  </si>
  <si>
    <t xml:space="preserve">Typing 2 letters shows matching Active values, most used first.</t>
  </si>
  <si>
    <t xml:space="preserve">L03</t>
  </si>
  <si>
    <t xml:space="preserve">Learn on save: saveDispute, saveLine, saveLines and returnDispute. New value: Source learned, Count 1; known value: Count + 1, LastUsed. Saving the same dispute again does not count twice.</t>
  </si>
  <si>
    <t xml:space="preserve">A new payer adds one row; saving again does not double count.</t>
  </si>
  <si>
    <t xml:space="preserve">L04</t>
  </si>
  <si>
    <t xml:space="preserve">Address books: Payer keeps the latest non-empty profile in Data JSON. BillingEntities: a new entity typed by a user is added (Confirmed No; Hidden while LearningMode is Off); empty columns are filled from the saved dispute; a non-empty value is never overwritten, except an unconfirmed ActingAs, which the saved dispute confirms.</t>
  </si>
  <si>
    <t xml:space="preserve">Admin-entered TIN is never replaced by a save.</t>
  </si>
  <si>
    <t xml:space="preserve">L05</t>
  </si>
  <si>
    <t xml:space="preserve">Caches: Options + BillingEntities rows 10 minutes; Settings and Fields 10 minutes; Users 2 minutes. A save that learns, an admin change or an edit to the tab (onEdit) clears the matching cache.</t>
  </si>
  <si>
    <t xml:space="preserve">A value saved by user A appears for user B after a reload.</t>
  </si>
  <si>
    <t xml:space="preserve">L06</t>
  </si>
  <si>
    <t xml:space="preserve">Profile auto-fill: payer -&gt; plan contact; billing entity -&gt; q_acting_as, tin, npi, prov_group_name, provider contact; service code -&gt; description; q_plan_type -&gt; plan_role (editable).</t>
  </si>
  <si>
    <t xml:space="preserve">Only empty fields (or fields still holding the previous pick) are filled; "Refill from" overwrites.</t>
  </si>
  <si>
    <t xml:space="preserve">L07</t>
  </si>
  <si>
    <t xml:space="preserve">Defaults come from the Fields tab: DefaultMode Fixed = the Default column; Learned = the most used value in the last DefaultWindow saves when its share &gt;= DefaultShare and at least 5 records have the field, else the Default column; None = no default. Tokens: @top (most used of the list), @me (signed-in LB Member email), @myteam (signed-in user's Team).</t>
  </si>
  <si>
    <t xml:space="preserve">Changing DefaultMode to Fixed applies on the next page load.</t>
  </si>
  <si>
    <t xml:space="preserve">L08</t>
  </si>
  <si>
    <t xml:space="preserve">Defaults show a "default" chip. Locked = Yes with a Fixed default shows a chip and always stores the value (Location of Service TX).</t>
  </si>
  <si>
    <t xml:space="preserve">New line shows TX as a locked chip.</t>
  </si>
  <si>
    <t xml:space="preserve">L09</t>
  </si>
  <si>
    <t xml:space="preserve">Admin -&gt; Lists: reword a value (keeps its Key), change label or sort, hide or activate, merge a learned value into another. Portal options with a Key are reworded, never merged. Names the portal would reject are flagged with the Fix result.</t>
  </si>
  <si>
    <t xml:space="preserve">adminUpdateOption refuses BillingEntity (own view).</t>
  </si>
  <si>
    <t xml:space="preserve">Do next</t>
  </si>
  <si>
    <t xml:space="preserve">L10</t>
  </si>
  <si>
    <t xml:space="preserve">Hidden values never show as suggestions.</t>
  </si>
  <si>
    <t xml:space="preserve">Hidden alias "Health Now" is not suggested.</t>
  </si>
  <si>
    <t xml:space="preserve">L11</t>
  </si>
  <si>
    <t xml:space="preserve">Typo protection within 2 edits (case, spaces, punctuation ignored); values whose digits differ are never typos. Alias rows (Hidden, Data.mergedInto) and the BillingEntities Aliases column map to the main value.</t>
  </si>
  <si>
    <t xml:space="preserve">"SILVER ALLIANCE,LLC" -&gt; Did you mean Silver Alliance, LLC?</t>
  </si>
  <si>
    <t xml:space="preserve">L12</t>
  </si>
  <si>
    <t xml:space="preserve">LearningMode Off adds new values (and new billing entities) as Hidden until an admin activates them.</t>
  </si>
  <si>
    <t xml:space="preserve">Next new value Hidden when Off.</t>
  </si>
  <si>
    <t xml:space="preserve">L13</t>
  </si>
  <si>
    <t xml:space="preserve">Insights (every role): top values per learned list, current defaults, values added this week, notices not sent the filing day.</t>
  </si>
  <si>
    <t xml:space="preserve">Shows RCM Specialist and Team counts.</t>
  </si>
  <si>
    <t xml:space="preserve">Do later</t>
  </si>
  <si>
    <t xml:space="preserve">L14</t>
  </si>
  <si>
    <t xml:space="preserve">Settings tab (Key | Value | Note), 11 keys with code fallbacks. Invalid or unknown values are ignored (default used) and listed as warnings in Admin -&gt; Settings &amp; fields.</t>
  </si>
  <si>
    <t xml:space="preserve">MaxFileMb = 99 falls back to 45 with a warning.</t>
  </si>
  <si>
    <t xml:space="preserve">L15</t>
  </si>
  <si>
    <t xml:space="preserve">setup() is idempotent: creates Fields, Users, BillingEntities; adds Options Key/Sort/Strict, Files LineKey/SameClaim, Settings rows; renames Owner -&gt; RcmSpecialist; migrates Admin/UsDeskUser lists and v3 preparers to Users; moves billing entities; seeds new lists; runs cleanupStaging_.</t>
  </si>
  <si>
    <t xml:space="preserve">Running setup() twice changes nothing the second time.</t>
  </si>
  <si>
    <t xml:space="preserve">L16</t>
  </si>
  <si>
    <t xml:space="preserve">Seeded and learned names pass the portal character checks; failures show the Fix button.</t>
  </si>
  <si>
    <t xml:space="preserve">GEHA (...) is flagged.</t>
  </si>
  <si>
    <t xml:space="preserve">L17</t>
  </si>
  <si>
    <t xml:space="preserve">Rules use option Keys, not label text (e.g. HealthPlanType fehb -&gt; enrollment code; ExtensionReason cooling -&gt; DISP reference). Rewording a Value keeps the Key, so the rules keep working; saved disputes keep the old text.</t>
  </si>
  <si>
    <t xml:space="preserve">Rewording the FEHB option still asks for the enrollment code.</t>
  </si>
  <si>
    <t xml:space="preserve">v4</t>
  </si>
  <si>
    <t xml:space="preserve">L18</t>
  </si>
  <si>
    <t xml:space="preserve">Values the portal would refuse are saved on the draft but never added to a list: a non-email RCM Specialist, a 4-character service code, a 3-character modifier, a name with rejected characters (invalidNew_).</t>
  </si>
  <si>
    <t xml:space="preserve">Typing "jdoe" as RCM Specialist does not add a list row.</t>
  </si>
  <si>
    <t xml:space="preserve">L19</t>
  </si>
  <si>
    <t xml:space="preserve">Fields merge (applyFields_): the sheet wins for Label, Help, Required (not Rule), Default, DefaultMode, Locked, Visible, Order, Pattern, PatternMessage, CopyOrder. Invalid values keep the built-in value and show as warnings. setup() adds rows for new built-in fields and never changes existing rows.</t>
  </si>
  <si>
    <t xml:space="preserve">Hiding a required field is ignored with a warning.</t>
  </si>
  <si>
    <t xml:space="preserve">Rule ID</t>
  </si>
  <si>
    <t xml:space="preserve">Field(s)</t>
  </si>
  <si>
    <t xml:space="preserve">Message</t>
  </si>
  <si>
    <t xml:space="preserve">Blocking/Warning</t>
  </si>
  <si>
    <t xml:space="preserve">V01</t>
  </si>
  <si>
    <t xml:space="preserve">All required fields</t>
  </si>
  <si>
    <t xml:space="preserve">Not empty. v3 adds prov_group_name, cost_sharing, plan_role, dispute_type.</t>
  </si>
  <si>
    <t xml:space="preserve">&lt;label&gt; is required</t>
  </si>
  <si>
    <t xml:space="preserve">Blocking</t>
  </si>
  <si>
    <t xml:space="preserve">1.5, 1.6</t>
  </si>
  <si>
    <t xml:space="preserve">*_zip</t>
  </si>
  <si>
    <t xml:space="preserve">Accept 12345, 12345-6789 or 123456789. Store 12345 or 12345-6789.</t>
  </si>
  <si>
    <t xml:space="preserve">must look like 12345 or 12345-6789</t>
  </si>
  <si>
    <t xml:space="preserve">*_phone, *_fax</t>
  </si>
  <si>
    <t xml:space="preserve">Accept (817) 566-1232, 817-566-1232 or 8175661232. Store (817) 566-1232.</t>
  </si>
  <si>
    <t xml:space="preserve">must be a 10-digit phone number, like (817) 566-1232</t>
  </si>
  <si>
    <t xml:space="preserve">*_email</t>
  </si>
  <si>
    <t xml:space="preserve">^[^@\s]+@[^@\s]+\.[^@\s]+$</t>
  </si>
  <si>
    <t xml:space="preserve">is not a valid email</t>
  </si>
  <si>
    <t xml:space="preserve">V05</t>
  </si>
  <si>
    <t xml:space="preserve">qpa, cost_sharing, initial_payment</t>
  </si>
  <si>
    <t xml:space="preserve">^\d+(\.\d{1,2})?$ after removing $ , and spaces.</t>
  </si>
  <si>
    <t xml:space="preserve">must be an amount like 154.00</t>
  </si>
  <si>
    <t xml:space="preserve">V06</t>
  </si>
  <si>
    <t xml:space="preserve">All date fields</t>
  </si>
  <si>
    <t xml:space="preserve">YYYY-MM-DD.</t>
  </si>
  <si>
    <t xml:space="preserve">must be a date</t>
  </si>
  <si>
    <t xml:space="preserve">V07</t>
  </si>
  <si>
    <t xml:space="preserve">On or after 2022-01-01.</t>
  </si>
  <si>
    <t xml:space="preserve">must be on or after 2022-01-01</t>
  </si>
  <si>
    <t xml:space="preserve">V08</t>
  </si>
  <si>
    <t xml:space="preserve">Not in the future.</t>
  </si>
  <si>
    <t xml:space="preserve">cannot be in the future</t>
  </si>
  <si>
    <t xml:space="preserve">V09</t>
  </si>
  <si>
    <t xml:space="preserve">^\d{9}$ when filled.</t>
  </si>
  <si>
    <t xml:space="preserve">Tax ID must be 9 digits</t>
  </si>
  <si>
    <t xml:space="preserve">V10</t>
  </si>
  <si>
    <t xml:space="preserve">^\d{10}$ when filled.</t>
  </si>
  <si>
    <t xml:space="preserve">NPI must be 10 digits</t>
  </si>
  <si>
    <t xml:space="preserve">V11</t>
  </si>
  <si>
    <t xml:space="preserve">Yes stops the dispute.</t>
  </si>
  <si>
    <t xml:space="preserve">Not eligible for federal IDR (portal alert)</t>
  </si>
  <si>
    <t xml:space="preserve">V12</t>
  </si>
  <si>
    <t xml:space="preserve">Not eligible for federal IDR</t>
  </si>
  <si>
    <t xml:space="preserve">V13</t>
  </si>
  <si>
    <t xml:space="preserve">on_start_date, extension_reason</t>
  </si>
  <si>
    <t xml:space="preserve">b &gt; 34 and no extension_reason.</t>
  </si>
  <si>
    <t xml:space="preserve">Deadline passed. Pick an extension reason or return the dispute.</t>
  </si>
  <si>
    <t xml:space="preserve">V14</t>
  </si>
  <si>
    <t xml:space="preserve">31 &lt;= b &lt;= 34: show the window. Red when 1 business day or less is left. Example (start date = day 1): ON start 09/01/2026 -&gt; day 30 = 10/14/2026, window 10/15/2026 to 10/20/2026, extension needed from 10/21/2026.</t>
  </si>
  <si>
    <t xml:space="preserve">Initiation window: &lt;first day&gt; to &lt;last day&gt; (&lt;n&gt; business days left)</t>
  </si>
  <si>
    <t xml:space="preserve">Warning (info)</t>
  </si>
  <si>
    <t xml:space="preserve">V15</t>
  </si>
  <si>
    <t xml:space="preserve">dispute_kind, claim_number</t>
  </si>
  <si>
    <t xml:space="preserve">v2 "Single dispute with several claim numbers" warning.</t>
  </si>
  <si>
    <t xml:space="preserve">(removed)</t>
  </si>
  <si>
    <t xml:space="preserve">Removed (v3)</t>
  </si>
  <si>
    <t xml:space="preserve">V16</t>
  </si>
  <si>
    <t xml:space="preserve">cost_sharing, qpa</t>
  </si>
  <si>
    <t xml:space="preserve">cost_sharing &gt; qpa.</t>
  </si>
  <si>
    <t xml:space="preserve">Cost sharing is more than the QPA</t>
  </si>
  <si>
    <t xml:space="preserve">Warning</t>
  </si>
  <si>
    <t xml:space="preserve">V17</t>
  </si>
  <si>
    <t xml:space="preserve">cost_sharing, initial_payment, qpa</t>
  </si>
  <si>
    <t xml:space="preserve">cost_sharing + initial_payment differs from qpa (both filled).</t>
  </si>
  <si>
    <t xml:space="preserve">Cost sharing plus initial payment does not equal the QPA</t>
  </si>
  <si>
    <t xml:space="preserve">V18</t>
  </si>
  <si>
    <t xml:space="preserve">qpa, initial_payment</t>
  </si>
  <si>
    <t xml:space="preserve">qpa = 0, or initial_payment &gt; qpa.</t>
  </si>
  <si>
    <t xml:space="preserve">Check the QPA and the initial payment</t>
  </si>
  <si>
    <t xml:space="preserve">V19</t>
  </si>
  <si>
    <t xml:space="preserve">description, claim_number, service_date, qpa, cost_sharing, service_code, pos_code</t>
  </si>
  <si>
    <t xml:space="preserve">Required on every line (cost_sharing now required).</t>
  </si>
  <si>
    <t xml:space="preserve">Line &lt;n&gt;: &lt;label&gt; is required</t>
  </si>
  <si>
    <t xml:space="preserve">1.6.1.1</t>
  </si>
  <si>
    <t xml:space="preserve">V20</t>
  </si>
  <si>
    <t xml:space="preserve">Line items</t>
  </si>
  <si>
    <t xml:space="preserve">At least 1 line. Kind-specific counts in V52–V55.</t>
  </si>
  <si>
    <t xml:space="preserve">Add at least one line item.</t>
  </si>
  <si>
    <t xml:space="preserve">1.6.2</t>
  </si>
  <si>
    <t xml:space="preserve">V21</t>
  </si>
  <si>
    <t xml:space="preserve">App-wide cap: at most 50 lines on any dispute.</t>
  </si>
  <si>
    <t xml:space="preserve">A dispute can have at most 50 line items.</t>
  </si>
  <si>
    <t xml:space="preserve">1.6.2.3</t>
  </si>
  <si>
    <t xml:space="preserve">V22</t>
  </si>
  <si>
    <t xml:space="preserve">Claim number also in another dispute that is not Returned (kept as a warning; the blocking line rule is V57).</t>
  </si>
  <si>
    <t xml:space="preserve">Claim &lt;claim&gt; is also in &lt;id&gt; (&lt;status&gt;).</t>
  </si>
  <si>
    <t xml:space="preserve">V23</t>
  </si>
  <si>
    <t xml:space="preserve">At least 1 file per line, or a file marked for all lines with the same claim number.</t>
  </si>
  <si>
    <t xml:space="preserve">Line &lt;n&gt;: QPA documentation is missing</t>
  </si>
  <si>
    <t xml:space="preserve">V24</t>
  </si>
  <si>
    <t xml:space="preserve">At least 1 file. Batched: reminder to upload proof for each distinct ON start date.</t>
  </si>
  <si>
    <t xml:space="preserve">Proof of open negotiation is missing / Upload proof for each open negotiation start date in this batch.</t>
  </si>
  <si>
    <t xml:space="preserve">Blocking / Warning</t>
  </si>
  <si>
    <t xml:space="preserve">1.1, 1.3 (9)</t>
  </si>
  <si>
    <t xml:space="preserve">V25</t>
  </si>
  <si>
    <t xml:space="preserve">Required when item_types includes "Other: Provide description".</t>
  </si>
  <si>
    <t xml:space="preserve">Other: Provide description is required</t>
  </si>
  <si>
    <t xml:space="preserve">V26</t>
  </si>
  <si>
    <t xml:space="preserve">Not empty.</t>
  </si>
  <si>
    <t xml:space="preserve">Certified IDR entity is required</t>
  </si>
  <si>
    <t xml:space="preserve">V27</t>
  </si>
  <si>
    <t xml:space="preserve">Answer the third-party question</t>
  </si>
  <si>
    <t xml:space="preserve">1.7.2</t>
  </si>
  <si>
    <t xml:space="preserve">V28</t>
  </si>
  <si>
    <t xml:space="preserve">Enter the portal dispute number, like DISP-1234567</t>
  </si>
  <si>
    <t xml:space="preserve">V29</t>
  </si>
  <si>
    <t xml:space="preserve">Notice of IDR Initiation PDF (portal "Save as PDF") attached to mark Filed.</t>
  </si>
  <si>
    <t xml:space="preserve">Attach the Notice of IDR Initiation PDF</t>
  </si>
  <si>
    <t xml:space="preserve">V30</t>
  </si>
  <si>
    <t xml:space="preserve">Not empty; from ReturnReason (combo).</t>
  </si>
  <si>
    <t xml:space="preserve">Say what needs fixing.</t>
  </si>
  <si>
    <t xml:space="preserve">V31</t>
  </si>
  <si>
    <t xml:space="preserve">All combo fields (incl. Team, RCM Specialist)</t>
  </si>
  <si>
    <t xml:space="preserve">Typed value within edit distance 2 of an Active value or alias.</t>
  </si>
  <si>
    <t xml:space="preserve">Did you mean &lt;value&gt;?</t>
  </si>
  <si>
    <t xml:space="preserve">V32</t>
  </si>
  <si>
    <t xml:space="preserve">*_state, location</t>
  </si>
  <si>
    <t xml:space="preserve">Strict select from State. location is fixed TX (read-only).</t>
  </si>
  <si>
    <t xml:space="preserve">Pick a state from the list</t>
  </si>
  <si>
    <t xml:space="preserve">V33</t>
  </si>
  <si>
    <t xml:space="preserve">Optional (see V50 for the format).</t>
  </si>
  <si>
    <t xml:space="preserve">V34</t>
  </si>
  <si>
    <t xml:space="preserve">Any edit</t>
  </si>
  <si>
    <t xml:space="preserve">Filed disputes cannot be edited.</t>
  </si>
  <si>
    <t xml:space="preserve">This dispute is already filed and can no longer be edited.</t>
  </si>
  <si>
    <t xml:space="preserve">V35</t>
  </si>
  <si>
    <t xml:space="preserve">Any upload</t>
  </si>
  <si>
    <t xml:space="preserve">Under MaxFileMb MB per file (Settings; default 45, at most 45: the Apps Script limit).</t>
  </si>
  <si>
    <t xml:space="preserve">Files must be under &lt;MaxFileMb&gt; MB each.</t>
  </si>
  <si>
    <t xml:space="preserve">V36</t>
  </si>
  <si>
    <t xml:space="preserve">uploadFile target</t>
  </si>
  <si>
    <t xml:space="preserve">A saved dispute id, or the draft token (DRAFT-...) of a new dispute: files can be attached before the first save (staging).</t>
  </si>
  <si>
    <t xml:space="preserve">No dispute to attach the file to.</t>
  </si>
  <si>
    <t xml:space="preserve">V37</t>
  </si>
  <si>
    <t xml:space="preserve">service_date (batched)</t>
  </si>
  <si>
    <t xml:space="preserve">All service dates within 30 business days of each other (latest minus earliest), unless extension_reason = cooling off period.</t>
  </si>
  <si>
    <t xml:space="preserve">All dates of service in a batched dispute must be within 30 business days of each other.</t>
  </si>
  <si>
    <t xml:space="preserve">1.6.1.3, 1.6.2.3</t>
  </si>
  <si>
    <t xml:space="preserve">V38</t>
  </si>
  <si>
    <t xml:space="preserve">tin, npi</t>
  </si>
  <si>
    <t xml:space="preserve">At least one of tin / npi.</t>
  </si>
  <si>
    <t xml:space="preserve">Enter the Tax ID or the NPI (at least one).</t>
  </si>
  <si>
    <t xml:space="preserve">1.3 (4)</t>
  </si>
  <si>
    <t xml:space="preserve">V39</t>
  </si>
  <si>
    <t xml:space="preserve">One of: Health care provider, Health care facility.</t>
  </si>
  <si>
    <t xml:space="preserve">Pick provider or facility</t>
  </si>
  <si>
    <t xml:space="preserve">V40</t>
  </si>
  <si>
    <t xml:space="preserve">One of the 7 portal options, exact text.</t>
  </si>
  <si>
    <t xml:space="preserve">Pick a Health Plan Type from the list</t>
  </si>
  <si>
    <t xml:space="preserve">V41</t>
  </si>
  <si>
    <t xml:space="preserve">Always shown under the field.</t>
  </si>
  <si>
    <t xml:space="preserve">Coverage only through Medicare, Medicaid, CHIP, TRICARE or a health care sharing ministry is not eligible for the Federal IDR process.</t>
  </si>
  <si>
    <t xml:space="preserve">Info</t>
  </si>
  <si>
    <t xml:space="preserve">V42</t>
  </si>
  <si>
    <t xml:space="preserve">^\d{3}$; required only when q_plan_type is the FEHB carrier option.</t>
  </si>
  <si>
    <t xml:space="preserve">Enter the three-digit FEHB enrollment code</t>
  </si>
  <si>
    <t xml:space="preserve">V43</t>
  </si>
  <si>
    <t xml:space="preserve">b &lt; 31. Ready for US desk is allowed (notice only). Start portal entry and Mark as filed are blocked (assertWindowOpen_). The dispute shows under "Not open yet" on the US desk. Example (start date = day 1): ON start 09/01/2026 -&gt; day 30 = 10/14/2026, window 10/15/2026 to 10/20/2026, extension needed from 10/21/2026.</t>
  </si>
  <si>
    <t xml:space="preserve">Notice: Filing window opens &lt;date&gt; (open negotiation business day &lt;b&gt; today). US desk: If the parties can’t agree on an out-of-network rate, the 30-business-day open negotiation period must elapse before starting the Federal IDR process. Filing window opens &lt;date&gt;.</t>
  </si>
  <si>
    <t xml:space="preserve">Warning (Ready) / Blocking (US desk)</t>
  </si>
  <si>
    <t xml:space="preserve">1.3 (9a)</t>
  </si>
  <si>
    <t xml:space="preserve">V44</t>
  </si>
  <si>
    <t xml:space="preserve">Reason (i): at least 1 file.</t>
  </si>
  <si>
    <t xml:space="preserve">Upload the extension approval from the Federal IDR Questions mailbox</t>
  </si>
  <si>
    <t xml:space="preserve">V45</t>
  </si>
  <si>
    <t xml:space="preserve">Reason (ii): required, ^DISP-\d+$.</t>
  </si>
  <si>
    <t xml:space="preserve">Enter the dispute reference number. / The dispute number is not valid.</t>
  </si>
  <si>
    <t xml:space="preserve">V46</t>
  </si>
  <si>
    <t xml:space="preserve">Reason (ii): at least 1 file.</t>
  </si>
  <si>
    <t xml:space="preserve">Upload the payment determination(s) that started the cooling off period</t>
  </si>
  <si>
    <t xml:space="preserve">V47</t>
  </si>
  <si>
    <t xml:space="preserve">service_date, on_start_date</t>
  </si>
  <si>
    <t xml:space="preserve">service_date strictly before on_start_date, every line, every kind.</t>
  </si>
  <si>
    <t xml:space="preserve">Line &lt;n&gt;: the date of service must be before the open negotiation start date</t>
  </si>
  <si>
    <t xml:space="preserve">V48</t>
  </si>
  <si>
    <t xml:space="preserve">Claim number: letters and digits only, up to 40</t>
  </si>
  <si>
    <t xml:space="preserve">V49</t>
  </si>
  <si>
    <t xml:space="preserve">Service code must be 5 letters or digits</t>
  </si>
  <si>
    <t xml:space="preserve">V50</t>
  </si>
  <si>
    <t xml:space="preserve">0 to 4 codes, each ^[A-Za-z0-9]{2}$; stored "; "-separated.</t>
  </si>
  <si>
    <t xml:space="preserve">Each modifier is 2 letters or digits, up to 4</t>
  </si>
  <si>
    <t xml:space="preserve">V51</t>
  </si>
  <si>
    <t xml:space="preserve">Place of service code must be 2 digits</t>
  </si>
  <si>
    <t xml:space="preserve">V52</t>
  </si>
  <si>
    <t xml:space="preserve">Line items (Single – Not Bundled)</t>
  </si>
  <si>
    <t xml:space="preserve">Exactly 1 line; no Add line button.</t>
  </si>
  <si>
    <t xml:space="preserve">A single dispute that is not bundled has exactly one line item.</t>
  </si>
  <si>
    <t xml:space="preserve">1.6.2.1, 1.6.3</t>
  </si>
  <si>
    <t xml:space="preserve">V53</t>
  </si>
  <si>
    <t xml:space="preserve">line_type (Single – Bundled)</t>
  </si>
  <si>
    <t xml:space="preserve">Line 1 = Bundled Item or Service; lines 2+ = Component Item or Service (optional). Set automatically.</t>
  </si>
  <si>
    <t xml:space="preserve">(none – automatic)</t>
  </si>
  <si>
    <t xml:space="preserve">V54</t>
  </si>
  <si>
    <t xml:space="preserve">Line items (Batched)</t>
  </si>
  <si>
    <t xml:space="preserve">At least 2 lines.</t>
  </si>
  <si>
    <t xml:space="preserve">Batched items or services require two or more line items.</t>
  </si>
  <si>
    <t xml:space="preserve">V55</t>
  </si>
  <si>
    <t xml:space="preserve">At most 50 lines when on_start_date &gt;= 2026-11-01 (V21 caps every dispute at 50 anyway).</t>
  </si>
  <si>
    <t xml:space="preserve">Batched items or services cannot exceed 50 dispute line items. If you have additional items or services to report, you must create an additional dispute.</t>
  </si>
  <si>
    <t xml:space="preserve">V56</t>
  </si>
  <si>
    <t xml:space="preserve">claim_number, service_date, service_code, modifiers</t>
  </si>
  <si>
    <t xml:space="preserve">Same 4 values twice in one dispute.</t>
  </si>
  <si>
    <t xml:space="preserve">Line &lt;n&gt; repeats line &lt;m&gt; (same claim number, date, service code and modifiers).</t>
  </si>
  <si>
    <t xml:space="preserve">Important Information</t>
  </si>
  <si>
    <t xml:space="preserve">V57</t>
  </si>
  <si>
    <t xml:space="preserve">Same 4 values as a line in another dispute that is Ready or Filed (not Draft or Returned). Override only when extension_reason is set.</t>
  </si>
  <si>
    <t xml:space="preserve">Line &lt;n&gt; is already in dispute &lt;id&gt;. Only allowed with an approved extension or after a cooling-off ineligible closure. (With an extension reason: warning to check the exception.)</t>
  </si>
  <si>
    <t xml:space="preserve">V58</t>
  </si>
  <si>
    <t xml:space="preserve">prov_name, prov_group_name, POC names, plan_name, signature</t>
  </si>
  <si>
    <t xml:space="preserve">Allowed: letters (incl. accented), digits, spaces and , - ’ ' . &amp; ~.</t>
  </si>
  <si>
    <t xml:space="preserve">Only letters, digits, spaces and , - ’ ' . &amp; ~ are allowed. [Fix] strips the others.</t>
  </si>
  <si>
    <t xml:space="preserve">1.5.3.1</t>
  </si>
  <si>
    <t xml:space="preserve">V59</t>
  </si>
  <si>
    <t xml:space="preserve">prov_/plan_ addr1, addr2, city, and the POC address fields (Code.gs chars: address)</t>
  </si>
  <si>
    <t xml:space="preserve">Allowed: letters (incl. accented), digits, spaces and # , - ’ ' . &amp; ~ / \ :.</t>
  </si>
  <si>
    <t xml:space="preserve">Only letters, digits, spaces and # , - ’ ' . &amp; ~ / \ : are allowed. [Fix] strips the others.</t>
  </si>
  <si>
    <t xml:space="preserve">1.5.3.2</t>
  </si>
  <si>
    <t xml:space="preserve">V60</t>
  </si>
  <si>
    <t xml:space="preserve">Portal uploads of one dispute</t>
  </si>
  <si>
    <t xml:space="preserve">Total Size of the portal categories (on_evidence, extension, cooling, qpa, additional) &lt;= DisputeMaxMb (Settings; default 500, at most 500). A shared QPA file counts once.</t>
  </si>
  <si>
    <t xml:space="preserve">The file you are attempting to upload exceeds the 500MB file size limit for the entire dispute and cannot be uploaded. Reduce the file size and try attaching the document again. (Another limit: "The files of one dispute must stay under &lt;n&gt; MB.")</t>
  </si>
  <si>
    <t xml:space="preserve">1.3 (9), 1.6.1.1 (9), 1.7.3</t>
  </si>
  <si>
    <t xml:space="preserve">V61</t>
  </si>
  <si>
    <t xml:space="preserve">Required when location is in Settings.ComplexStates.</t>
  </si>
  <si>
    <t xml:space="preserve">Confirm the state-specific eligibility attestation</t>
  </si>
  <si>
    <t xml:space="preserve">V62</t>
  </si>
  <si>
    <t xml:space="preserve">dispute_type, bundled_payment, batch_qualifies</t>
  </si>
  <si>
    <t xml:space="preserve">dispute_type required; bundled_payment required when single; batch_qualifies checked when batched.</t>
  </si>
  <si>
    <t xml:space="preserve">Answer the dispute type questions</t>
  </si>
  <si>
    <t xml:space="preserve">1.4</t>
  </si>
  <si>
    <t xml:space="preserve">V63</t>
  </si>
  <si>
    <t xml:space="preserve">Checked.</t>
  </si>
  <si>
    <t xml:space="preserve">Confirm the conflict of interest attestation</t>
  </si>
  <si>
    <t xml:space="preserve">V64</t>
  </si>
  <si>
    <t xml:space="preserve">POC fields</t>
  </si>
  <si>
    <t xml:space="preserve">Name entered -&gt; email, phone, mailing address, city, state, ZIP required.</t>
  </si>
  <si>
    <t xml:space="preserve">&lt;Primary/Secondary&gt; point of contact: &lt;label&gt; is required</t>
  </si>
  <si>
    <t xml:space="preserve">1.5</t>
  </si>
  <si>
    <t xml:space="preserve">V65</t>
  </si>
  <si>
    <t xml:space="preserve">nip_notified_date, nip_notified_method</t>
  </si>
  <si>
    <t xml:space="preserve">Both required to mark Filed (markFiled notice {date, method}); date not in the future.</t>
  </si>
  <si>
    <t xml:space="preserve">Enter when and how the non-initiating party got the Notice of IDR Initiation</t>
  </si>
  <si>
    <t xml:space="preserve">V66</t>
  </si>
  <si>
    <t xml:space="preserve">Not the same day as the filed date.</t>
  </si>
  <si>
    <t xml:space="preserve">The non-initiating party must get a copy of the notice the same day it is submitted.</t>
  </si>
  <si>
    <t xml:space="preserve">V67</t>
  </si>
  <si>
    <t xml:space="preserve">One of the 4 IDRE statuses; Filed disputes only. Never blocks filing.</t>
  </si>
  <si>
    <t xml:space="preserve">Pick a status: Pending, Accepted preferred, Alternate accepted, Alternate denied.</t>
  </si>
  <si>
    <t xml:space="preserve">Blocking (on update)</t>
  </si>
  <si>
    <t xml:space="preserve">V68</t>
  </si>
  <si>
    <t xml:space="preserve">Access</t>
  </si>
  <si>
    <t xml:space="preserve">The signed-in email must be an active row on the Users tab (while no member is active, the account the script runs as is Admin).</t>
  </si>
  <si>
    <t xml:space="preserve">Access not granted. Ask an admin to add you on the Users tab.</t>
  </si>
  <si>
    <t xml:space="preserve">V69</t>
  </si>
  <si>
    <t xml:space="preserve">Every server function</t>
  </si>
  <si>
    <t xml:space="preserve">Role check on the server (see Roles &amp; permissions).</t>
  </si>
  <si>
    <t xml:space="preserve">Your role (&lt;role&gt;) cannot do this.</t>
  </si>
  <si>
    <t xml:space="preserve">V70</t>
  </si>
  <si>
    <t xml:space="preserve">Dispute edits</t>
  </si>
  <si>
    <t xml:space="preserve">LB Members edit Draft and Returned disputes only; Admins any dispute that is not Filed.</t>
  </si>
  <si>
    <t xml:space="preserve">LB Members edit Draft and Returned disputes only. This one is &lt;status&gt;; ask the US desk to return it.</t>
  </si>
  <si>
    <t xml:space="preserve">V71</t>
  </si>
  <si>
    <t xml:space="preserve">listDisputes, getDispute</t>
  </si>
  <si>
    <t xml:space="preserve">US Members see Ready for US desk and Filed disputes only.</t>
  </si>
  <si>
    <t xml:space="preserve">US Members see disputes that are Ready for US desk or Filed.</t>
  </si>
  <si>
    <t xml:space="preserve">V72</t>
  </si>
  <si>
    <t xml:space="preserve">markFiled, returnDispute</t>
  </si>
  <si>
    <t xml:space="preserve">Only a dispute that is Ready for US desk.</t>
  </si>
  <si>
    <t xml:space="preserve">Only disputes that are Ready for US desk can be filed or returned (this one is &lt;status&gt;).</t>
  </si>
  <si>
    <t xml:space="preserve">V73</t>
  </si>
  <si>
    <t xml:space="preserve">uploadFile, removeFile, saveDispute (draftToken)</t>
  </si>
  <si>
    <t xml:space="preserve">A draft token belongs to the member who staged its files; nobody else adds to, removes from or saves it.</t>
  </si>
  <si>
    <t xml:space="preserve">These files belong to another user's new dispute.</t>
  </si>
  <si>
    <t xml:space="preserve">V74</t>
  </si>
  <si>
    <t xml:space="preserve">uploadFile lineNo</t>
  </si>
  <si>
    <t xml:space="preserve">A line number must be a saved line of the dispute; an unsaved line uses its lineKey.</t>
  </si>
  <si>
    <t xml:space="preserve">Line &lt;n&gt; is not a saved line item of &lt;id&gt;.</t>
  </si>
  <si>
    <t xml:space="preserve">V75</t>
  </si>
  <si>
    <t xml:space="preserve">uploadFile category</t>
  </si>
  <si>
    <t xml:space="preserve">portal_confirmation and confirmation_pdf are added by the app only.</t>
  </si>
  <si>
    <t xml:space="preserve">That document is added by the app.</t>
  </si>
  <si>
    <t xml:space="preserve">V76</t>
  </si>
  <si>
    <t xml:space="preserve">adminSaveUser</t>
  </si>
  <si>
    <t xml:space="preserve">Valid email; Role one of Admin, LB Member, US Member; name in the portal name characters.</t>
  </si>
  <si>
    <t xml:space="preserve">Enter a valid email. / Role must be Admin, LB Member, US Member. / The name has characters the portal does not accept: &lt;chars&gt;</t>
  </si>
  <si>
    <t xml:space="preserve">V77</t>
  </si>
  <si>
    <t xml:space="preserve">The last active Admin cannot be deactivated or given another role; the first member must be an active Admin.</t>
  </si>
  <si>
    <t xml:space="preserve">This is the last active Admin. Add another Admin first. / There would be no active Admin. Add an Admin first.</t>
  </si>
  <si>
    <t xml:space="preserve">V78</t>
  </si>
  <si>
    <t xml:space="preserve">RcmSpecialist ("Add new")</t>
  </si>
  <si>
    <t xml:space="preserve">A new value must be a valid email to join the RcmSpecialist list; otherwise it is kept on the draft but not learned (L18).</t>
  </si>
  <si>
    <t xml:space="preserve">(not learned)</t>
  </si>
  <si>
    <t xml:space="preserve">V79</t>
  </si>
  <si>
    <t xml:space="preserve">Team ("Add new")</t>
  </si>
  <si>
    <t xml:space="preserve">A new value must use the portal name characters to join the Team list.</t>
  </si>
  <si>
    <t xml:space="preserve">V80</t>
  </si>
  <si>
    <t xml:space="preserve">adminSaveEntity</t>
  </si>
  <si>
    <t xml:space="preserve">Name required; name and address characters; ActingAs from the ActingAs list; TIN 9 digits; NPI 10; ZIP 5 or 9; phone and fax 10 digits; email; State code; Status Active/Hidden; Confirmed Yes/No.</t>
  </si>
  <si>
    <t xml:space="preserve">TIN must be 9 digits. / NPI must be 10 digits. / ... (entityProblems_)</t>
  </si>
  <si>
    <t xml:space="preserve">1.5.3</t>
  </si>
  <si>
    <t xml:space="preserve">V81</t>
  </si>
  <si>
    <t xml:space="preserve">adminSaveSetting / Settings tab</t>
  </si>
  <si>
    <t xml:space="preserve">LearningMode On/Off; DefaultWindow 1-1000; DefaultShare 0-1 or %; ComplexStates 2-letter codes; MaxFileMb 1-45; DisputeMaxMb 1-500; GatewayFrom and GatewayBannerUntil YYYY-MM-DD; PortalSessionMinutes 5-240; PortalWarnMinutes 1-239; StagingDays 1-90.</t>
  </si>
  <si>
    <t xml:space="preserve">&lt;Key&gt; must be ... (settingProblem_)</t>
  </si>
  <si>
    <t xml:space="preserve">Blocking (admin) / fallback + warning (tab)</t>
  </si>
  <si>
    <t xml:space="preserve">V82</t>
  </si>
  <si>
    <t xml:space="preserve">adminSaveField / Fields tab</t>
  </si>
  <si>
    <t xml:space="preserve">DefaultMode Fixed | Learned | None; Required Yes/No (Rule fields cannot change); a required field cannot be hidden; Default must be an option of its list (closed lists) and match the pattern; tokens @top @me @myteam allowed; Order a number; Label not empty; Pattern a valid regex.</t>
  </si>
  <si>
    <t xml:space="preserve">Default must be an option of the &lt;List&gt; list. / A required field cannot be hidden. / ...</t>
  </si>
  <si>
    <t xml:space="preserve">V83</t>
  </si>
  <si>
    <t xml:space="preserve">Config tabs</t>
  </si>
  <si>
    <t xml:space="preserve">Unknown keys and invalid values on Settings, Fields or Options are ignored; the built-in value is used and a warning shows in Admin -&gt; Settings &amp; fields.</t>
  </si>
  <si>
    <t xml:space="preserve">(warning in Admin)</t>
  </si>
  <si>
    <t xml:space="preserve">V84</t>
  </si>
  <si>
    <t xml:space="preserve">Editor tools</t>
  </si>
  <si>
    <t xml:space="preserve">setup, installTriggers, seedDemoData, clearDemoData: Admin only (or the script owner while no member is active); dailyMaintenance also from its time trigger.</t>
  </si>
  <si>
    <t xml:space="preserve">Only an Admin can run this.</t>
  </si>
  <si>
    <t xml:space="preserve">From status</t>
  </si>
  <si>
    <t xml:space="preserve">Action</t>
  </si>
  <si>
    <t xml:space="preserve">To status</t>
  </si>
  <si>
    <t xml:space="preserve">Who</t>
  </si>
  <si>
    <t xml:space="preserve">Required conditions</t>
  </si>
  <si>
    <t xml:space="preserve">Server function</t>
  </si>
  <si>
    <t xml:space="preserve">Log event</t>
  </si>
  <si>
    <t xml:space="preserve">Save page 1</t>
  </si>
  <si>
    <t xml:space="preserve">Draft</t>
  </si>
  <si>
    <t xml:space="preserve">LB Member / Admin</t>
  </si>
  <si>
    <t xml:space="preserve">None. New DisputeID (IDR-yymmdd-XXXX) and Drive folder.</t>
  </si>
  <si>
    <t xml:space="preserve">saveDispute</t>
  </si>
  <si>
    <t xml:space="preserve">save</t>
  </si>
  <si>
    <t xml:space="preserve">Save any page or line</t>
  </si>
  <si>
    <t xml:space="preserve">Not Filed. Learn on save (L03). Stepper shows per-page completeness (7 pages).</t>
  </si>
  <si>
    <t xml:space="preserve">saveDispute, saveLine, deleteLine</t>
  </si>
  <si>
    <t xml:space="preserve">save, line:&lt;n&gt;</t>
  </si>
  <si>
    <t xml:space="preserve">Upload or remove a file</t>
  </si>
  <si>
    <t xml:space="preserve">Dispute saved; under 45 MB per file; dispute total &lt;= 500 MB (V60).</t>
  </si>
  <si>
    <t xml:space="preserve">uploadFile, removeFile</t>
  </si>
  <si>
    <t xml:space="preserve">upload, file-removed</t>
  </si>
  <si>
    <t xml:space="preserve">Save &amp; create confirmation PDF</t>
  </si>
  <si>
    <t xml:space="preserve">Ready for US desk</t>
  </si>
  <si>
    <t xml:space="preserve">No blocking rules, including deadline (V13), line-count rules (V52–V55), duplicates (V56, V57). Allowed before business day 31: notice "Filing window opens &lt;date&gt;" (V43).</t>
  </si>
  <si>
    <t xml:space="preserve">finalizeDispute</t>
  </si>
  <si>
    <t xml:space="preserve">status</t>
  </si>
  <si>
    <t xml:space="preserve">(before business day 31)</t>
  </si>
  <si>
    <t xml:space="preserve">US Member / Admin</t>
  </si>
  <si>
    <t xml:space="preserve">Listed under "Not open yet", sorted by opening date. Start portal entry and Mark as filed wait until the window opens.</t>
  </si>
  <si>
    <t xml:space="preserve">listDisputes (band, opens)</t>
  </si>
  <si>
    <t xml:space="preserve">Start portal entry (copy desk)</t>
  </si>
  <si>
    <t xml:space="preserve">"Start only when you can finish this dispute in one sitting." 60-minute timer, warning at 50 minutes. Portal times out after 60 minutes of inactivity; nothing is saved on exit. Blocked before business day 31 (V43).</t>
  </si>
  <si>
    <t xml:space="preserve">Copy to the portal</t>
  </si>
  <si>
    <t xml:space="preserve">Order: pages 1–4, line items in summary-table column order, page 6, Review &amp; Submit. Gateway banner until 2027-01-15.</t>
  </si>
  <si>
    <t xml:space="preserve">Filed</t>
  </si>
  <si>
    <t xml:space="preserve">^DISP-\d+$ number, Notice of IDR Initiation PDF, nip_notified_date and nip_notified_method (V28, V29, V65). Warning if NIP date is not the filed date (V66). Blocked before business day 31 (V43). idre_status set to Pending.</t>
  </si>
  <si>
    <t xml:space="preserve">markFiled(id, portalNumber, portalPdf, notice)</t>
  </si>
  <si>
    <t xml:space="preserve">Returned</t>
  </si>
  <si>
    <t xml:space="preserve">Reason from ReturnReason (V30) and details.</t>
  </si>
  <si>
    <t xml:space="preserve">returnDispute</t>
  </si>
  <si>
    <t xml:space="preserve">Edit</t>
  </si>
  <si>
    <t xml:space="preserve">Allowed today; status does not change (Open questions).</t>
  </si>
  <si>
    <t xml:space="preserve">saveDispute, saveLine</t>
  </si>
  <si>
    <t xml:space="preserve">Fix and save</t>
  </si>
  <si>
    <t xml:space="preserve">Reason shown at the top.</t>
  </si>
  <si>
    <t xml:space="preserve">Same as Draft -&gt; Ready.</t>
  </si>
  <si>
    <t xml:space="preserve">Record IDRE selection (optional)</t>
  </si>
  <si>
    <t xml:space="preserve">idre_final and idre_status (Pending | Accepted preferred | Alternate accepted | Alternate denied). Filed disputes only. No status change.</t>
  </si>
  <si>
    <t xml:space="preserve">updateIdreSelection(id, idreFinal, idreStatus)</t>
  </si>
  <si>
    <t xml:space="preserve">idre</t>
  </si>
  <si>
    <t xml:space="preserve">(any other edit)</t>
  </si>
  <si>
    <t xml:space="preserve">(no change)</t>
  </si>
  <si>
    <t xml:space="preserve">Nobody</t>
  </si>
  <si>
    <t xml:space="preserve">Locked (V34), except the IDRE fields.</t>
  </si>
  <si>
    <t xml:space="preserve">(any)</t>
  </si>
  <si>
    <t xml:space="preserve">Manage lists</t>
  </si>
  <si>
    <t xml:space="preserve">Rename, merge, hide, reactivate.</t>
  </si>
  <si>
    <t xml:space="preserve">adminListOptions, adminUpdateOption</t>
  </si>
  <si>
    <t xml:space="preserve">admin</t>
  </si>
  <si>
    <t xml:space="preserve">Draft / Returned</t>
  </si>
  <si>
    <t xml:space="preserve">Paste lines from a spreadsheet</t>
  </si>
  <si>
    <t xml:space="preserve">Every row is checked first; nothing is saved when one has a problem.</t>
  </si>
  <si>
    <t xml:space="preserve">saveLines(id, rows)</t>
  </si>
  <si>
    <t xml:space="preserve">line</t>
  </si>
  <si>
    <t xml:space="preserve">View insights</t>
  </si>
  <si>
    <t xml:space="preserve">Any active member</t>
  </si>
  <si>
    <t xml:space="preserve">Includes NIP warnings (V66).</t>
  </si>
  <si>
    <t xml:space="preserve">getInsights</t>
  </si>
  <si>
    <t xml:space="preserve">(migration)</t>
  </si>
  <si>
    <t xml:space="preserve">setup() / first load</t>
  </si>
  <si>
    <t xml:space="preserve">Admin (setup)</t>
  </si>
  <si>
    <t xml:space="preserve">dispute_kind: "Single dispute" -&gt; single + bundled No; "A batched dispute" -&gt; batched; "A bundled dispute" -&gt; single + bundled Yes. Empty q_acting_as from prov_designation; plan_role spelling; modifiers rewritten "25; 59". New columns added.</t>
  </si>
  <si>
    <t xml:space="preserve">(calendar)</t>
  </si>
  <si>
    <t xml:space="preserve">Before 2026-11-13</t>
  </si>
  <si>
    <t xml:space="preserve">Portal web form without sign-in.</t>
  </si>
  <si>
    <t xml:space="preserve">2026-11-13 to 2027-01-15</t>
  </si>
  <si>
    <t xml:space="preserve">Web form inside the IDR Gateway (sign-in); the form without sign-in still works. Each US desk user creates a Gateway account joined to our organization.</t>
  </si>
  <si>
    <t xml:space="preserve">After 2027-01-15</t>
  </si>
  <si>
    <t xml:space="preserve">IDR Gateway only. Copy desk banner removed.</t>
  </si>
  <si>
    <t xml:space="preserve">ON start on or after 2026-11-01</t>
  </si>
  <si>
    <t xml:space="preserve">Batched disputes: at most 50 lines (V55).</t>
  </si>
  <si>
    <t xml:space="preserve">Open the app</t>
  </si>
  <si>
    <t xml:space="preserve">Anyone</t>
  </si>
  <si>
    <t xml:space="preserve">Active row on the Users tab; otherwise the "Access not granted" page (V68).</t>
  </si>
  <si>
    <t xml:space="preserve">doGet, getBootstrap</t>
  </si>
  <si>
    <t xml:space="preserve">(new, not saved)</t>
  </si>
  <si>
    <t xml:space="preserve">Attach a file before the first save</t>
  </si>
  <si>
    <t xml:space="preserve">(staged)</t>
  </si>
  <si>
    <t xml:space="preserve">The browser gives the new dispute a draft token (DRAFT-...). The file goes to Drive "IDR Prep Studio - Disputes/Staging/&lt;token&gt;"; Files.DisputeID = the token. Only the uploader can add, remove or save it (V73).</t>
  </si>
  <si>
    <t xml:space="preserve">uploadFile(target = token, ...), removeFile</t>
  </si>
  <si>
    <t xml:space="preserve">upload</t>
  </si>
  <si>
    <t xml:space="preserve">First save</t>
  </si>
  <si>
    <t xml:space="preserve">saveDispute(payload.draftToken): staged files move to the dispute folder and get the new DisputeID (relinkDraft_).</t>
  </si>
  <si>
    <t xml:space="preserve">save, relink</t>
  </si>
  <si>
    <t xml:space="preserve">Save a new line that has staged files</t>
  </si>
  <si>
    <t xml:space="preserve">saveLine(id, lineNo, values, lineKey) or saveLines rows[].lineKey: Files rows with that LineKey get the LineNo; SameClaim = Yes also attaches the QPA file to the claim's other lines.</t>
  </si>
  <si>
    <t xml:space="preserve">saveLine, saveLines</t>
  </si>
  <si>
    <t xml:space="preserve">line:&lt;n&gt;</t>
  </si>
  <si>
    <t xml:space="preserve">Never saved</t>
  </si>
  <si>
    <t xml:space="preserve">(deleted)</t>
  </si>
  <si>
    <t xml:space="preserve">System</t>
  </si>
  <si>
    <t xml:space="preserve">After StagingDays (default 7): Drive files trashed and Files rows deleted.</t>
  </si>
  <si>
    <t xml:space="preserve">cleanupStaging_ (from setup and dailyMaintenance)</t>
  </si>
  <si>
    <t xml:space="preserve">cleanup</t>
  </si>
  <si>
    <t xml:space="preserve">Install the daily cleanup</t>
  </si>
  <si>
    <t xml:space="preserve">Admin (editor)</t>
  </si>
  <si>
    <t xml:space="preserve">Run once; a daily trigger at about 3 AM; running again keeps one trigger.</t>
  </si>
  <si>
    <t xml:space="preserve">installTriggers -&gt; dailyMaintenance</t>
  </si>
  <si>
    <t xml:space="preserve">Admin opens a Ready dispute</t>
  </si>
  <si>
    <t xml:space="preserve">Opens in the copy desk with "Open in editor". Admins may still edit it (not Filed).</t>
  </si>
  <si>
    <t xml:space="preserve">Manage users</t>
  </si>
  <si>
    <t xml:space="preserve">Add (email checked), change name, role, team, active, notes; never delete; last active Admin protected (V76, V77).</t>
  </si>
  <si>
    <t xml:space="preserve">adminListUsers, adminSaveUser</t>
  </si>
  <si>
    <t xml:space="preserve">user</t>
  </si>
  <si>
    <t xml:space="preserve">Manage billing entities</t>
  </si>
  <si>
    <t xml:space="preserve">Add, edit, hide or activate; checks V80; renaming keeps the old name in Aliases.</t>
  </si>
  <si>
    <t xml:space="preserve">adminListEntities, adminSaveEntity</t>
  </si>
  <si>
    <t xml:space="preserve">entity</t>
  </si>
  <si>
    <t xml:space="preserve">Edit settings and fields</t>
  </si>
  <si>
    <t xml:space="preserve">Validated (V81, V82); caches cleared.</t>
  </si>
  <si>
    <t xml:space="preserve">adminGetConfig, adminSaveSetting, adminSaveField</t>
  </si>
  <si>
    <t xml:space="preserve">setting, field</t>
  </si>
  <si>
    <t xml:space="preserve">Reword (keeps Key), label, sort, hide, activate, merge.</t>
  </si>
  <si>
    <t xml:space="preserve">option</t>
  </si>
  <si>
    <t xml:space="preserve">(demo)</t>
  </si>
  <si>
    <t xml:space="preserve">Switch demo view</t>
  </si>
  <si>
    <t xml:space="preserve">demoUseLebanonView / demoUseUsView / demoUseAdminView set your own role on Users; the admin who switched away can switch back.</t>
  </si>
  <si>
    <t xml:space="preserve">DemoData.gs</t>
  </si>
  <si>
    <t xml:space="preserve">Function / screen</t>
  </si>
  <si>
    <t xml:space="preserve">LB Member</t>
  </si>
  <si>
    <t xml:space="preserve">US Member</t>
  </si>
  <si>
    <t xml:space="preserve">Not a member</t>
  </si>
  <si>
    <t xml:space="preserve">Server check (Code.gs)</t>
  </si>
  <si>
    <t xml:space="preserve">doGet</t>
  </si>
  <si>
    <t xml:space="preserve">"Access not granted" page</t>
  </si>
  <si>
    <t xml:space="preserve">me_()</t>
  </si>
  <si>
    <t xml:space="preserve">getBootstrap</t>
  </si>
  <si>
    <t xml:space="preserve">Read</t>
  </si>
  <si>
    <t xml:space="preserve">requireRole_()</t>
  </si>
  <si>
    <t xml:space="preserve">US Members start on Ready for US desk.</t>
  </si>
  <si>
    <t xml:space="preserve">listDisputes</t>
  </si>
  <si>
    <t xml:space="preserve">All</t>
  </si>
  <si>
    <t xml:space="preserve">Ready + Filed only</t>
  </si>
  <si>
    <t xml:space="preserve">requireRole_() + visibleTo_</t>
  </si>
  <si>
    <t xml:space="preserve">getDispute</t>
  </si>
  <si>
    <t xml:space="preserve">Prepare</t>
  </si>
  <si>
    <t xml:space="preserve">Yes (not Filed)</t>
  </si>
  <si>
    <t xml:space="preserve">New, Draft, Returned</t>
  </si>
  <si>
    <t xml:space="preserve">requireRole_(Admin, LB) + assertCanEdit_</t>
  </si>
  <si>
    <t xml:space="preserve">First save relinks staged files (own draft token only).</t>
  </si>
  <si>
    <t xml:space="preserve">saveLine</t>
  </si>
  <si>
    <t xml:space="preserve">Draft, Returned</t>
  </si>
  <si>
    <t xml:space="preserve">saveLines</t>
  </si>
  <si>
    <t xml:space="preserve">deleteLine</t>
  </si>
  <si>
    <t xml:space="preserve">uploadFile</t>
  </si>
  <si>
    <t xml:space="preserve">Yes (not Filed; staged: own)</t>
  </si>
  <si>
    <t xml:space="preserve">Draft, Returned; staged: own</t>
  </si>
  <si>
    <t xml:space="preserve">requireRole_(Admin, LB) + assertCanEdit_ / assertOwnDraft_</t>
  </si>
  <si>
    <t xml:space="preserve">removeFile</t>
  </si>
  <si>
    <t xml:space="preserve">Send to US desk</t>
  </si>
  <si>
    <t xml:space="preserve">markFiled</t>
  </si>
  <si>
    <t xml:space="preserve">US desk</t>
  </si>
  <si>
    <t xml:space="preserve">Yes (Ready, window open)</t>
  </si>
  <si>
    <t xml:space="preserve">requireRole_(Admin, US) + readyDispute_ + assertWindowOpen_</t>
  </si>
  <si>
    <t xml:space="preserve">Yes (Ready)</t>
  </si>
  <si>
    <t xml:space="preserve">requireRole_(Admin, US) + readyDispute_</t>
  </si>
  <si>
    <t xml:space="preserve">updateIdreSelection</t>
  </si>
  <si>
    <t xml:space="preserve">Yes (Filed)</t>
  </si>
  <si>
    <t xml:space="preserve">requireRole_(Admin, US)</t>
  </si>
  <si>
    <t xml:space="preserve">adminListOptions / adminUpdateOption</t>
  </si>
  <si>
    <t xml:space="preserve">requireRole_(Admin)</t>
  </si>
  <si>
    <t xml:space="preserve">adminListUsers / adminSaveUser</t>
  </si>
  <si>
    <t xml:space="preserve">Last active Admin protected.</t>
  </si>
  <si>
    <t xml:space="preserve">adminListEntities / adminSaveEntity</t>
  </si>
  <si>
    <t xml:space="preserve">adminGetConfig / adminSaveSetting / adminSaveField</t>
  </si>
  <si>
    <t xml:space="preserve">setup / installTriggers</t>
  </si>
  <si>
    <t xml:space="preserve">Script owner only while no member is active</t>
  </si>
  <si>
    <t xml:space="preserve">requireEditorOrAdmin_()</t>
  </si>
  <si>
    <t xml:space="preserve">dailyMaintenance</t>
  </si>
  <si>
    <t xml:space="preserve">Time trigger</t>
  </si>
  <si>
    <t xml:space="preserve">requireEditorOrAdmin_(true)</t>
  </si>
  <si>
    <t xml:space="preserve">seedDemoData / clearDemoData</t>
  </si>
  <si>
    <t xml:space="preserve">Demo (DemoData.gs)</t>
  </si>
  <si>
    <t xml:space="preserve">demoUseLebanonView / demoUseUsView / demoUseAdminView</t>
  </si>
  <si>
    <t xml:space="preserve">Only the admin who switched away</t>
  </si>
  <si>
    <t xml:space="preserve">demoSetRole_ (DEMO_SWITCH_EMAIL)</t>
  </si>
  <si>
    <t xml:space="preserve">onEdit</t>
  </si>
  <si>
    <t xml:space="preserve">Sheet trigger</t>
  </si>
  <si>
    <t xml:space="preserve">Sheet editors</t>
  </si>
  <si>
    <t xml:space="preserve">simple trigger</t>
  </si>
  <si>
    <t xml:space="preserve">Only clears caches.</t>
  </si>
  <si>
    <t xml:space="preserve">UI: copy desk, Start portal entry</t>
  </si>
  <si>
    <t xml:space="preserve">US desk screen</t>
  </si>
  <si>
    <t xml:space="preserve">Yes (Ready opens in the copy desk, with "Open in editor")</t>
  </si>
  <si>
    <t xml:space="preserve">markFiled checks on the server</t>
  </si>
  <si>
    <t xml:space="preserve">UI: Admin screens</t>
  </si>
  <si>
    <t xml:space="preserve">admin* functions</t>
  </si>
  <si>
    <t xml:space="preserve">Table</t>
  </si>
  <si>
    <t xml:space="preserve">Column</t>
  </si>
  <si>
    <t xml:space="preserve">Disputes</t>
  </si>
  <si>
    <t xml:space="preserve">DisputeID</t>
  </si>
  <si>
    <t xml:space="preserve">Key. IDR-yymmdd-XXXX.</t>
  </si>
  <si>
    <t xml:space="preserve">Draft, Ready for US desk, Filed, Returned.</t>
  </si>
  <si>
    <t xml:space="preserve">Searchable with Add new; default @myteam.</t>
  </si>
  <si>
    <t xml:space="preserve">Was Owner: setup() renames the header; the app reads Owner until then.</t>
  </si>
  <si>
    <t xml:space="preserve">CreatedBy</t>
  </si>
  <si>
    <t xml:space="preserve">CreatedAt</t>
  </si>
  <si>
    <t xml:space="preserve">timestamp</t>
  </si>
  <si>
    <t xml:space="preserve">UpdatedBy</t>
  </si>
  <si>
    <t xml:space="preserve">UpdatedAt</t>
  </si>
  <si>
    <t xml:space="preserve">FolderUrl</t>
  </si>
  <si>
    <t xml:space="preserve">url</t>
  </si>
  <si>
    <t xml:space="preserve">Drive folder.</t>
  </si>
  <si>
    <t xml:space="preserve">ConfirmationPdfUrl</t>
  </si>
  <si>
    <t xml:space="preserve">ReadyAt</t>
  </si>
  <si>
    <t xml:space="preserve">FiledBy</t>
  </si>
  <si>
    <t xml:space="preserve">FiledAt</t>
  </si>
  <si>
    <t xml:space="preserve">Notice of IDR Initiation PDF.</t>
  </si>
  <si>
    <t xml:space="preserve">"reason: details".</t>
  </si>
  <si>
    <t xml:space="preserve">Derived (3 kinds).</t>
  </si>
  <si>
    <t xml:space="preserve">NipMethod list.</t>
  </si>
  <si>
    <t xml:space="preserve">IdreStatus list.</t>
  </si>
  <si>
    <t xml:space="preserve">Field. See Fields.</t>
  </si>
  <si>
    <t xml:space="preserve">prov_designation</t>
  </si>
  <si>
    <t xml:space="preserve">Old v2 column; setup() copies it into an empty q_acting_as. Not read otherwise.</t>
  </si>
  <si>
    <t xml:space="preserve">LineItems</t>
  </si>
  <si>
    <t xml:space="preserve">Link to Disputes.</t>
  </si>
  <si>
    <t xml:space="preserve">LineNo</t>
  </si>
  <si>
    <t xml:space="preserve">number</t>
  </si>
  <si>
    <t xml:space="preserve">1 to 50.</t>
  </si>
  <si>
    <t xml:space="preserve">Field. See Fields. Stored "25; 59".</t>
  </si>
  <si>
    <t xml:space="preserve">(not stored)</t>
  </si>
  <si>
    <t xml:space="preserve">Derived on read for Single Line Item – Bundled.</t>
  </si>
  <si>
    <t xml:space="preserve">Files</t>
  </si>
  <si>
    <t xml:space="preserve">Dispute id, or the draft token (DRAFT-...) while the dispute is not saved.</t>
  </si>
  <si>
    <t xml:space="preserve">Category</t>
  </si>
  <si>
    <t xml:space="preserve">on_evidence, extension, cooling, qpa, additional (portal files, count toward DisputeMaxMb), confirmation_pdf, portal_confirmation (app only).</t>
  </si>
  <si>
    <t xml:space="preserve">Saved line; blank while the line is not saved.</t>
  </si>
  <si>
    <t xml:space="preserve">Url</t>
  </si>
  <si>
    <t xml:space="preserve">FileId</t>
  </si>
  <si>
    <t xml:space="preserve">UploadedBy</t>
  </si>
  <si>
    <t xml:space="preserve">UploadedAt</t>
  </si>
  <si>
    <t xml:space="preserve">Size</t>
  </si>
  <si>
    <t xml:space="preserve">Bytes.</t>
  </si>
  <si>
    <t xml:space="preserve">LineKey</t>
  </si>
  <si>
    <t xml:space="preserve">Client key of a line not saved yet; mapped to LineNo on save.</t>
  </si>
  <si>
    <t xml:space="preserve">SameClaim</t>
  </si>
  <si>
    <t xml:space="preserve">Yes/blank</t>
  </si>
  <si>
    <t xml:space="preserve">Apply the QPA file to the claim's other lines when the line is saved.</t>
  </si>
  <si>
    <t xml:space="preserve">Stable id used by the rules (portal options); blank for ordinary values.</t>
  </si>
  <si>
    <t xml:space="preserve">Data</t>
  </si>
  <si>
    <t xml:space="preserve">JSON text</t>
  </si>
  <si>
    <t xml:space="preserve">Payer profile; mergedInto on alias rows.</t>
  </si>
  <si>
    <t xml:space="preserve">Display order (strict lists); others ranked by use.</t>
  </si>
  <si>
    <t xml:space="preserve">Portal wording; the list never learns.</t>
  </si>
  <si>
    <t xml:space="preserve">One row per setting (see below).</t>
  </si>
  <si>
    <t xml:space="preserve">Settings (rows)</t>
  </si>
  <si>
    <t xml:space="preserve">setting</t>
  </si>
  <si>
    <t xml:space="preserve">Default: On. On: new values typed by users are active at once (training). Off: they are added as Hidden until an admin activates them.</t>
  </si>
  <si>
    <t xml:space="preserve">DefaultWindow</t>
  </si>
  <si>
    <t xml:space="preserve">Default: 50. How many recent saved records the learned defaults look at.</t>
  </si>
  <si>
    <t xml:space="preserve">DefaultShare</t>
  </si>
  <si>
    <t xml:space="preserve">Default: 0.8. Share of those records (0 to 1) one value needs to become the default.</t>
  </si>
  <si>
    <t xml:space="preserve">Default: (empty). States on CMS's Complex State list, comma separated (like TX, NM). Lines with a location in the list need the state-specific eligibility attestation. Empty until confirmed.</t>
  </si>
  <si>
    <t xml:space="preserve">MaxFileMb</t>
  </si>
  <si>
    <t xml:space="preserve">Default: 45. Largest file the app accepts, in MB (Apps Script allows up to 45).</t>
  </si>
  <si>
    <t xml:space="preserve">DisputeMaxMb</t>
  </si>
  <si>
    <t xml:space="preserve">Default: 500. Total size of the files of one dispute that go to the portal, in MB (the portal allows 500).</t>
  </si>
  <si>
    <t xml:space="preserve">GatewayFrom</t>
  </si>
  <si>
    <t xml:space="preserve">Default: 2026-11-13. Date the web form moves into the IDR Gateway (sign-in), YYYY-MM-DD.</t>
  </si>
  <si>
    <t xml:space="preserve">GatewayBannerUntil</t>
  </si>
  <si>
    <t xml:space="preserve">Default: 2027-01-15. Last day the IDR Gateway banner shows on the copy desk (the form without sign-in ends that day), YYYY-MM-DD.</t>
  </si>
  <si>
    <t xml:space="preserve">PortalSessionMinutes</t>
  </si>
  <si>
    <t xml:space="preserve">Default: 60. The portal session times out after this many minutes of inactivity (copy desk timer).</t>
  </si>
  <si>
    <t xml:space="preserve">PortalWarnMinutes</t>
  </si>
  <si>
    <t xml:space="preserve">Default: 50. The copy desk timer warns after this many minutes.</t>
  </si>
  <si>
    <t xml:space="preserve">Default: 7. Files uploaded to a dispute or line that was never saved are deleted after this many days.</t>
  </si>
  <si>
    <t xml:space="preserve">Page</t>
  </si>
  <si>
    <t xml:space="preserve">qual, dtype, init, noninit, lines, final, internal.</t>
  </si>
  <si>
    <t xml:space="preserve">Order inside the section.</t>
  </si>
  <si>
    <t xml:space="preserve">Yes | No | Rule (portal logic in code; read-only).</t>
  </si>
  <si>
    <t xml:space="preserve">Value or token @top, @me, @myteam.</t>
  </si>
  <si>
    <t xml:space="preserve">Fixed | Learned | None.</t>
  </si>
  <si>
    <t xml:space="preserve">Yes/No.</t>
  </si>
  <si>
    <t xml:space="preserve">Yes/No (required fields stay visible).</t>
  </si>
  <si>
    <t xml:space="preserve">Copy-desk order (line fields).</t>
  </si>
  <si>
    <t xml:space="preserve">Key (lower case).</t>
  </si>
  <si>
    <t xml:space="preserve">Role</t>
  </si>
  <si>
    <t xml:space="preserve">Admin | LB Member | US Member.</t>
  </si>
  <si>
    <t xml:space="preserve">Default team (@myteam).</t>
  </si>
  <si>
    <t xml:space="preserve">Yes/No (never delete).</t>
  </si>
  <si>
    <t xml:space="preserve">Key (legal name).</t>
  </si>
  <si>
    <t xml:space="preserve">From the ActingAs list.</t>
  </si>
  <si>
    <t xml:space="preserve">Yes/No: a saved dispute confirmed ActingAs.</t>
  </si>
  <si>
    <t xml:space="preserve">Active/Hidden.</t>
  </si>
  <si>
    <t xml:space="preserve">Semicolon list (old spellings).</t>
  </si>
  <si>
    <t xml:space="preserve">Log</t>
  </si>
  <si>
    <t xml:space="preserve">Timestamp</t>
  </si>
  <si>
    <t xml:space="preserve">User</t>
  </si>
  <si>
    <t xml:space="preserve">Blank for staged, config and user events.</t>
  </si>
  <si>
    <t xml:space="preserve">Event</t>
  </si>
  <si>
    <t xml:space="preserve">save, line:&lt;n&gt;, upload, file-removed, file-unlinked, relink, status, idre, option, user, entity, setting, field, cleanup.</t>
  </si>
  <si>
    <t xml:space="preserve">Details</t>
  </si>
  <si>
    <t xml:space="preserve">Function</t>
  </si>
  <si>
    <t xml:space="preserve">Visibility</t>
  </si>
  <si>
    <t xml:space="preserve">Inputs</t>
  </si>
  <si>
    <t xml:space="preserve">Outputs</t>
  </si>
  <si>
    <t xml:space="preserve">Public</t>
  </si>
  <si>
    <t xml:space="preserve">HtmlOutput</t>
  </si>
  <si>
    <t xml:space="preserve">App, or the "Access not granted" page.</t>
  </si>
  <si>
    <t xml:space="preserve">Any</t>
  </si>
  <si>
    <t xml:space="preserve">withList (boolean)</t>
  </si>
  <si>
    <t xml:space="preserve">{user, role, me {email, name, team}, isAdmin, isUsDesk, isLb, people, schema, lists, aliases, defaults, learningMode, complexStates, today, status, kinds, gateway, rules, listFilter?, list?}</t>
  </si>
  <si>
    <t xml:space="preserve">First screen data. rules: maxLines, batchCapFrom, fileLimit, disputeFileLimit, maxFileMb, disputeMaxMb, portalFileCategories, sessionMinutes, warnMinutes, draftPrefix, msg. schema = built-in merged with Fields.</t>
  </si>
  <si>
    <t xml:space="preserve">Any (US: Ready/Filed)</t>
  </si>
  <si>
    <t xml:space="preserve">filter (status or "All")</t>
  </si>
  <si>
    <t xml:space="preserve">[{id, status, team, rcm, plan, kind, lines, updatedAt, updatedBy, returnReason, pdf, portalNumber, idreStatus, initiateBy, daysLeft, band, opens, extension}]</t>
  </si>
  <si>
    <t xml:space="preserve">Newest first. rcm replaces owner.</t>
  </si>
  <si>
    <t xml:space="preserve">id</t>
  </si>
  <si>
    <t xml:space="preserve">{dispute, lines, files, warnings, deadline}</t>
  </si>
  <si>
    <t xml:space="preserve">Admin, LB</t>
  </si>
  <si>
    <t xml:space="preserve">payload {id?, values, page, draftToken?}</t>
  </si>
  <si>
    <t xml:space="preserve">{id, bundle}</t>
  </si>
  <si>
    <t xml:space="preserve">First save relinks the files staged under draftToken (relinkDraft_).</t>
  </si>
  <si>
    <t xml:space="preserve">id, lineNo?, values, lineKey?</t>
  </si>
  <si>
    <t xml:space="preserve">{lineNo, bundle}</t>
  </si>
  <si>
    <t xml:space="preserve">lineKey: files uploaded before the line was saved get its LineNo.</t>
  </si>
  <si>
    <t xml:space="preserve">id, rows [{field: value, lineKey?}]</t>
  </si>
  <si>
    <t xml:space="preserve">{lineNos, bundle}</t>
  </si>
  <si>
    <t xml:space="preserve">Bulk paste; all rows checked first.</t>
  </si>
  <si>
    <t xml:space="preserve">id, lineNo</t>
  </si>
  <si>
    <t xml:space="preserve">bundle</t>
  </si>
  <si>
    <t xml:space="preserve">target (dispute id or draft token), category, lineNo, name, mimeType, data (base64), sameClaim, lineKey?</t>
  </si>
  <si>
    <t xml:space="preserve">{name, url, id, files}</t>
  </si>
  <si>
    <t xml:space="preserve">Staged in Drive Staging/&lt;token&gt; before the first save. MaxFileMb, DisputeMaxMb.</t>
  </si>
  <si>
    <t xml:space="preserve">target, fileId, lineNo?, lineKey?</t>
  </si>
  <si>
    <t xml:space="preserve">files</t>
  </si>
  <si>
    <t xml:space="preserve">Works on staged files; a shared QPA file is only unlinked from the line.</t>
  </si>
  <si>
    <t xml:space="preserve">{ok, problems?, warnings?, pdfUrl?, bundle?}</t>
  </si>
  <si>
    <t xml:space="preserve">Admin, US</t>
  </si>
  <si>
    <t xml:space="preserve">id, portalNumber, portalPdf {name, mimeType, data}, notice {date, method}</t>
  </si>
  <si>
    <t xml:space="preserve">Ready only; window open; method from NipMethod.</t>
  </si>
  <si>
    <t xml:space="preserve">id, idreFinal, idreStatus</t>
  </si>
  <si>
    <t xml:space="preserve">Filed only.</t>
  </si>
  <si>
    <t xml:space="preserve">id, reason, details</t>
  </si>
  <si>
    <t xml:space="preserve">true</t>
  </si>
  <si>
    <t xml:space="preserve">Ready only.</t>
  </si>
  <si>
    <t xml:space="preserve">{settings, addedThisWeek, lists, defaults, notices}</t>
  </si>
  <si>
    <t xml:space="preserve">adminListOptions</t>
  </si>
  <si>
    <t xml:space="preserve">list?</t>
  </si>
  <si>
    <t xml:space="preserve">list names with counts, or every value of a list</t>
  </si>
  <si>
    <t xml:space="preserve">BillingEntity and the private lists excluded.</t>
  </si>
  <si>
    <t xml:space="preserve">adminUpdateOption</t>
  </si>
  <si>
    <t xml:space="preserve">list, value, change {label?, status?, mergeInto?, value?, sort?}</t>
  </si>
  <si>
    <t xml:space="preserve">the list again</t>
  </si>
  <si>
    <t xml:space="preserve">value rewords in place keeping the Key.</t>
  </si>
  <si>
    <t xml:space="preserve">adminListUsers</t>
  </si>
  <si>
    <t xml:space="preserve">{roles, users}</t>
  </si>
  <si>
    <t xml:space="preserve">Every member, active or not.</t>
  </si>
  <si>
    <t xml:space="preserve">user {email, name?, role, team?, active?, notes?}</t>
  </si>
  <si>
    <t xml:space="preserve">Add or update; last active Admin protected.</t>
  </si>
  <si>
    <t xml:space="preserve">adminListEntities</t>
  </si>
  <si>
    <t xml:space="preserve">{columns, actingAs, states, rows}</t>
  </si>
  <si>
    <t xml:space="preserve">entity {column: value}, originalName?</t>
  </si>
  <si>
    <t xml:space="preserve">Add (no originalName) or update; renaming keeps the old name in Aliases.</t>
  </si>
  <si>
    <t xml:space="preserve">adminGetConfig</t>
  </si>
  <si>
    <t xml:space="preserve">{settings [{key, value, effective, fallback, note}], fields, lists, warnings, defaultModes}</t>
  </si>
  <si>
    <t xml:space="preserve">adminSaveSetting</t>
  </si>
  <si>
    <t xml:space="preserve">key, value</t>
  </si>
  <si>
    <t xml:space="preserve">config</t>
  </si>
  <si>
    <t xml:space="preserve">Validated (settingProblem_).</t>
  </si>
  <si>
    <t xml:space="preserve">adminSaveField</t>
  </si>
  <si>
    <t xml:space="preserve">key, change {label?, help?, required?, default?, defaultMode?, locked?, visible?, order?}</t>
  </si>
  <si>
    <t xml:space="preserve">Validated.</t>
  </si>
  <si>
    <t xml:space="preserve">Public (trigger)</t>
  </si>
  <si>
    <t xml:space="preserve">Admin or time trigger</t>
  </si>
  <si>
    <t xml:space="preserve">rows removed</t>
  </si>
  <si>
    <t xml:space="preserve">Runs cleanupStaging_.</t>
  </si>
  <si>
    <t xml:space="preserve">installTriggers</t>
  </si>
  <si>
    <t xml:space="preserve">Public (editor)</t>
  </si>
  <si>
    <t xml:space="preserve">One daily trigger at about 3 AM.</t>
  </si>
  <si>
    <t xml:space="preserve">e</t>
  </si>
  <si>
    <t xml:space="preserve">Clears the cache of the edited tab: Options/BillingEntities, Settings, Fields, Users.</t>
  </si>
  <si>
    <t xml:space="preserve">Idempotent; tabs, columns, migrations, seeds, cleanupStaging_.</t>
  </si>
  <si>
    <t xml:space="preserve">Public (DemoData.gs)</t>
  </si>
  <si>
    <t xml:space="preserve">12 synthetic disputes IDR-DEMO-001 to 012 (012 prepared ahead).</t>
  </si>
  <si>
    <t xml:space="preserve">Admin (or the admin who switched away)</t>
  </si>
  <si>
    <t xml:space="preserve">Sets your own role on Users.</t>
  </si>
  <si>
    <t xml:space="preserve">requireRole_ / requireEditorOrAdmin_ / assertCanEdit_ / visibleTo_</t>
  </si>
  <si>
    <t xml:space="preserve">Private</t>
  </si>
  <si>
    <t xml:space="preserve">roles / id, u</t>
  </si>
  <si>
    <t xml:space="preserve">member / throws</t>
  </si>
  <si>
    <t xml:space="preserve">Role checks (Roles &amp; permissions).</t>
  </si>
  <si>
    <t xml:space="preserve">usersAll_ / activeUsers_ / userOf_ / me_ / clearUsersCache_</t>
  </si>
  <si>
    <t xml:space="preserve">member</t>
  </si>
  <si>
    <t xml:space="preserve">Users tab, cached 2 minutes.</t>
  </si>
  <si>
    <t xml:space="preserve">schema_ / baseSchema_ / applyFields_ / fieldRow_ / seedFields_</t>
  </si>
  <si>
    <t xml:space="preserve">s, rows, warnings</t>
  </si>
  <si>
    <t xml:space="preserve">schema</t>
  </si>
  <si>
    <t xml:space="preserve">Fields merge and seed.</t>
  </si>
  <si>
    <t xml:space="preserve">listEntries_ / optValue_ / optKeyOf_ / isStrictList_</t>
  </si>
  <si>
    <t xml:space="preserve">list, key</t>
  </si>
  <si>
    <t xml:space="preserve">value / key</t>
  </si>
  <si>
    <t xml:space="preserve">Options by Key.</t>
  </si>
  <si>
    <t xml:space="preserve">relinkDraft_ / relinkLineFiles_ / storeFile_ / stagingFolder_ / assertOwnDraft_ / cleanupStaging_</t>
  </si>
  <si>
    <t xml:space="preserve">token, id, ...</t>
  </si>
  <si>
    <t xml:space="preserve">varies</t>
  </si>
  <si>
    <t xml:space="preserve">Upload before saving.</t>
  </si>
  <si>
    <t xml:space="preserve">learn_ / learnEntity_ / invalidNew_ / learnFlush_</t>
  </si>
  <si>
    <t xml:space="preserve">list, value, data</t>
  </si>
  <si>
    <t xml:space="preserve">Learning; entities to BillingEntities.</t>
  </si>
  <si>
    <t xml:space="preserve">getSettings_ / settingProblem_ / clearConfigCache_</t>
  </si>
  <si>
    <t xml:space="preserve">settings</t>
  </si>
  <si>
    <t xml:space="preserve">11 keys with fallbacks.</t>
  </si>
  <si>
    <t xml:space="preserve">migrateOptions_ / migrateUsers_ / migrateEntities_ / renameHeader_ / seedOptions_ / seedEntities_ / seedSettings_</t>
  </si>
  <si>
    <t xml:space="preserve">setup() steps.</t>
  </si>
  <si>
    <t xml:space="preserve">businessDeadline_</t>
  </si>
  <si>
    <t xml:space="preserve">onStart, today?</t>
  </si>
  <si>
    <t xml:space="preserve">{onEnds, initiateBy, opens, b, band, daysLeft}</t>
  </si>
  <si>
    <t xml:space="preserve">Start date = business day 1.</t>
  </si>
  <si>
    <t xml:space="preserve">validate_ / warnings_ / checkField_ / lineRules_ / duplicateLines_</t>
  </si>
  <si>
    <t xml:space="preserve">Portal rules (Validation rules).</t>
  </si>
  <si>
    <t xml:space="preserve">User story</t>
  </si>
  <si>
    <t xml:space="preserve">Effort (S/M/L)</t>
  </si>
  <si>
    <t xml:space="preserve">B01</t>
  </si>
  <si>
    <t xml:space="preserve">FR-1</t>
  </si>
  <si>
    <t xml:space="preserve">As a preparer, I pick the payer from a list so the contact fields fill in.</t>
  </si>
  <si>
    <t xml:space="preserve">M</t>
  </si>
  <si>
    <t xml:space="preserve">124 payers seeded; 4 with profiles. Only empty fields filled. New payers learned.</t>
  </si>
  <si>
    <t xml:space="preserve">B02</t>
  </si>
  <si>
    <t xml:space="preserve">FR-2</t>
  </si>
  <si>
    <t xml:space="preserve">As a preparer, I pick our billing entity so acting-as, TIN, NPI, group name and contact fill in.</t>
  </si>
  <si>
    <t xml:space="preserve">S</t>
  </si>
  <si>
    <t xml:space="preserve">24 entities on the BillingEntities tab; ActingAs guess with Confirmed No until saved.</t>
  </si>
  <si>
    <t xml:space="preserve">B03</t>
  </si>
  <si>
    <t xml:space="preserve">FR-3</t>
  </si>
  <si>
    <t xml:space="preserve">As a preparer, I see smart defaults I can change.</t>
  </si>
  <si>
    <t xml:space="preserve">No, No, batched, Emergency, POS 23, TX (locked), third party No pre-selected.</t>
  </si>
  <si>
    <t xml:space="preserve">B04</t>
  </si>
  <si>
    <t xml:space="preserve">FR-4</t>
  </si>
  <si>
    <t xml:space="preserve">As a preparer, I see the open negotiation timing band.</t>
  </si>
  <si>
    <t xml:space="preserve">Start date = day 1. b &lt; 31: Ready allowed with "Filing window opens &lt;date&gt;", US desk blocked, "Not open yet" group; 31–34 shows the window; &gt; 34 needs an extension reason.</t>
  </si>
  <si>
    <t xml:space="preserve">B05</t>
  </si>
  <si>
    <t xml:space="preserve">FR-5</t>
  </si>
  <si>
    <t xml:space="preserve">As a preparer, I am stopped when a dispute is not eligible.</t>
  </si>
  <si>
    <t xml:space="preserve">Yes on prior-2022 or consent blocks Ready.</t>
  </si>
  <si>
    <t xml:space="preserve">B06</t>
  </si>
  <si>
    <t xml:space="preserve">FR-6</t>
  </si>
  <si>
    <t xml:space="preserve">As a preparer, I pick the Health Plan Type from the 7 portal options.</t>
  </si>
  <si>
    <t xml:space="preserve">Strict dropdown, exact text; FEHB shows the enrollment code; plan_role derived.</t>
  </si>
  <si>
    <t xml:space="preserve">B07</t>
  </si>
  <si>
    <t xml:space="preserve">FR-7</t>
  </si>
  <si>
    <t xml:space="preserve">As a preparer, I cannot repeat a line already filed.</t>
  </si>
  <si>
    <t xml:space="preserve">V56 within the dispute; V57 across Ready/Filed disputes, override only with an extension reason.</t>
  </si>
  <si>
    <t xml:space="preserve">B08</t>
  </si>
  <si>
    <t xml:space="preserve">FR-8</t>
  </si>
  <si>
    <t xml:space="preserve">As a preparer, I cannot batch lines more than 30 business days apart.</t>
  </si>
  <si>
    <t xml:space="preserve">V37 blocks unless the cooling off reason is set.</t>
  </si>
  <si>
    <t xml:space="preserve">B09</t>
  </si>
  <si>
    <t xml:space="preserve">FR-9</t>
  </si>
  <si>
    <t xml:space="preserve">As a preparer, I duplicate a line and change only what differs.</t>
  </si>
  <si>
    <t xml:space="preserve">Duplicate line copies all fields; then V56 asks for a change.</t>
  </si>
  <si>
    <t xml:space="preserve">B10</t>
  </si>
  <si>
    <t xml:space="preserve">FR-10</t>
  </si>
  <si>
    <t xml:space="preserve">As a preparer, I pick service codes, modifiers and POS codes from lists.</t>
  </si>
  <si>
    <t xml:space="preserve">373 codes; formats V49–V51.</t>
  </si>
  <si>
    <t xml:space="preserve">B11</t>
  </si>
  <si>
    <t xml:space="preserve">FR-11</t>
  </si>
  <si>
    <t xml:space="preserve">As the US desk, I pick a return reason from a list.</t>
  </si>
  <si>
    <t xml:space="preserve">ReturnReason combo.</t>
  </si>
  <si>
    <t xml:space="preserve">B12</t>
  </si>
  <si>
    <t xml:space="preserve">FR-12</t>
  </si>
  <si>
    <t xml:space="preserve">As the US desk, I record the portal number, the notice PDF and the NIP notification to file.</t>
  </si>
  <si>
    <t xml:space="preserve">^DISP-\d+$; PDF; nip date and method; warning if not same day.</t>
  </si>
  <si>
    <t xml:space="preserve">B13</t>
  </si>
  <si>
    <t xml:space="preserve">FR-13</t>
  </si>
  <si>
    <t xml:space="preserve">As a manager, I see Team and RCM Specialist picked from searchable boxes with "Add new".</t>
  </si>
  <si>
    <t xml:space="preserve">RCM Specialist (was Owner) must be an email; defaults @me and @myteam.</t>
  </si>
  <si>
    <t xml:space="preserve">B14</t>
  </si>
  <si>
    <t xml:space="preserve">FR-14</t>
  </si>
  <si>
    <t xml:space="preserve">As a preparer, phone and ZIP format themselves.</t>
  </si>
  <si>
    <t xml:space="preserve">(817) 566-1232; ZIP 5 or 9.</t>
  </si>
  <si>
    <t xml:space="preserve">B15</t>
  </si>
  <si>
    <t xml:space="preserve">FR-15</t>
  </si>
  <si>
    <t xml:space="preserve">As a preparer, I am warned about amounts that do not add up.</t>
  </si>
  <si>
    <t xml:space="preserve">V16–V18.</t>
  </si>
  <si>
    <t xml:space="preserve">B16</t>
  </si>
  <si>
    <t xml:space="preserve">FR-16</t>
  </si>
  <si>
    <t xml:space="preserve">As the US desk, I use saved views.</t>
  </si>
  <si>
    <t xml:space="preserve">Filters by team, deadline, status.</t>
  </si>
  <si>
    <t xml:space="preserve">B17</t>
  </si>
  <si>
    <t xml:space="preserve">FR-17</t>
  </si>
  <si>
    <t xml:space="preserve">As a manager, I see weekly metrics from the Log tab.</t>
  </si>
  <si>
    <t xml:space="preserve">Ready-to-Filed time, returns by reason, NIP same-day rate.</t>
  </si>
  <si>
    <t xml:space="preserve">B18</t>
  </si>
  <si>
    <t xml:space="preserve">Spec v2 §3</t>
  </si>
  <si>
    <t xml:space="preserve">Options tab with counts and status.</t>
  </si>
  <si>
    <t xml:space="preserve">L01, L14, L15.</t>
  </si>
  <si>
    <t xml:space="preserve">B19</t>
  </si>
  <si>
    <t xml:space="preserve">Combos ranked by use.</t>
  </si>
  <si>
    <t xml:space="preserve">L02, L10.</t>
  </si>
  <si>
    <t xml:space="preserve">B20</t>
  </si>
  <si>
    <t xml:space="preserve">Learn on save, shared at once.</t>
  </si>
  <si>
    <t xml:space="preserve">L03–L05.</t>
  </si>
  <si>
    <t xml:space="preserve">B21</t>
  </si>
  <si>
    <t xml:space="preserve">"Did you mean ...?" and aliases.</t>
  </si>
  <si>
    <t xml:space="preserve">L11.</t>
  </si>
  <si>
    <t xml:space="preserve">B22</t>
  </si>
  <si>
    <t xml:space="preserve">Learned defaults.</t>
  </si>
  <si>
    <t xml:space="preserve">L07, L08.</t>
  </si>
  <si>
    <t xml:space="preserve">B23</t>
  </si>
  <si>
    <t xml:space="preserve">Admin -&gt; Lists management.</t>
  </si>
  <si>
    <t xml:space="preserve">L09.</t>
  </si>
  <si>
    <t xml:space="preserve">B24</t>
  </si>
  <si>
    <t xml:space="preserve">Learning mode.</t>
  </si>
  <si>
    <t xml:space="preserve">L12.</t>
  </si>
  <si>
    <t xml:space="preserve">B25</t>
  </si>
  <si>
    <t xml:space="preserve">Insights view.</t>
  </si>
  <si>
    <t xml:space="preserve">L13.</t>
  </si>
  <si>
    <t xml:space="preserve">B26</t>
  </si>
  <si>
    <t xml:space="preserve">Spec v2 §4</t>
  </si>
  <si>
    <t xml:space="preserve">New v2 portal fields.</t>
  </si>
  <si>
    <t xml:space="preserve">Done in v2.</t>
  </si>
  <si>
    <t xml:space="preserve">B27</t>
  </si>
  <si>
    <t xml:space="preserve">One QPA file per claim.</t>
  </si>
  <si>
    <t xml:space="preserve">sameClaim upload.</t>
  </si>
  <si>
    <t xml:space="preserve">B28</t>
  </si>
  <si>
    <t xml:space="preserve">POC sections collapsed.</t>
  </si>
  <si>
    <t xml:space="preserve">Plus V64 when a name is entered.</t>
  </si>
  <si>
    <t xml:space="preserve">B29</t>
  </si>
  <si>
    <t xml:space="preserve">Summary shows the signature name.</t>
  </si>
  <si>
    <t xml:space="preserve">Locked chip on page 6.</t>
  </si>
  <si>
    <t xml:space="preserve">B30</t>
  </si>
  <si>
    <t xml:space="preserve">Copy desk in portal order.</t>
  </si>
  <si>
    <t xml:space="preserve">See B33.</t>
  </si>
  <si>
    <t xml:space="preserve">B31</t>
  </si>
  <si>
    <t xml:space="preserve">Spec v2 §1</t>
  </si>
  <si>
    <t xml:space="preserve">Every line has claim number, date, QPA, cost sharing, POS.</t>
  </si>
  <si>
    <t xml:space="preserve">V19.</t>
  </si>
  <si>
    <t xml:space="preserve">B32</t>
  </si>
  <si>
    <t xml:space="preserve">Spec v2 §5</t>
  </si>
  <si>
    <t xml:space="preserve">Demo data uses the seeded payers and entities.</t>
  </si>
  <si>
    <t xml:space="preserve">Synthetic only.</t>
  </si>
  <si>
    <t xml:space="preserve">B33</t>
  </si>
  <si>
    <t xml:space="preserve">Spec v3 §1</t>
  </si>
  <si>
    <t xml:space="preserve">As a preparer and US desk, the Studio pages match the 7 portal pages.</t>
  </si>
  <si>
    <t xml:space="preserve">L</t>
  </si>
  <si>
    <t xml:space="preserve">Stepper with per-page completeness; sticky Back / Save / Continue; Enter = next field; Ctrl+S = save.</t>
  </si>
  <si>
    <t xml:space="preserve">B34</t>
  </si>
  <si>
    <t xml:space="preserve">Spec v3 §0</t>
  </si>
  <si>
    <t xml:space="preserve">As a preparer, I never see plan/issuer or air ambulance paths.</t>
  </si>
  <si>
    <t xml:space="preserve">q_acting_as 2 options; plan-side questions not built; air ambulance item type removed.</t>
  </si>
  <si>
    <t xml:space="preserve">B35</t>
  </si>
  <si>
    <t xml:space="preserve">Spec v3 §2</t>
  </si>
  <si>
    <t xml:space="preserve">As a preparer, I enter TIN or NPI (at least one).</t>
  </si>
  <si>
    <t xml:space="preserve">V38, V09, V10.</t>
  </si>
  <si>
    <t xml:space="preserve">B36</t>
  </si>
  <si>
    <t xml:space="preserve">As a preparer, I give an extension reason and its evidence when late.</t>
  </si>
  <si>
    <t xml:space="preserve">V13, V44–V46; uploads appear only for the chosen reason.</t>
  </si>
  <si>
    <t xml:space="preserve">B37</t>
  </si>
  <si>
    <t xml:space="preserve">As a preparer, I answer the dispute type questions like the portal.</t>
  </si>
  <si>
    <t xml:space="preserve">dispute_type, bundled_payment, batch_qualifies; dispute_kind derived; old data migrated.</t>
  </si>
  <si>
    <t xml:space="preserve">B38</t>
  </si>
  <si>
    <t xml:space="preserve">Spec v3 §3</t>
  </si>
  <si>
    <t xml:space="preserve">As a preparer, line rules follow the dispute kind.</t>
  </si>
  <si>
    <t xml:space="preserve">V52–V55; bundled line_type column.</t>
  </si>
  <si>
    <t xml:space="preserve">B39</t>
  </si>
  <si>
    <t xml:space="preserve">As a preparer, dates of service are checked against the ON start.</t>
  </si>
  <si>
    <t xml:space="preserve">V47.</t>
  </si>
  <si>
    <t xml:space="preserve">B40</t>
  </si>
  <si>
    <t xml:space="preserve">Spec v3 §4</t>
  </si>
  <si>
    <t xml:space="preserve">As a preparer, names and addresses pass the portal character rules.</t>
  </si>
  <si>
    <t xml:space="preserve">V58, V59 with a Fix button; seeded values too.</t>
  </si>
  <si>
    <t xml:space="preserve">B41</t>
  </si>
  <si>
    <t xml:space="preserve">As a preparer, the 500 MB dispute limit is enforced.</t>
  </si>
  <si>
    <t xml:space="preserve">V60.</t>
  </si>
  <si>
    <t xml:space="preserve">B42</t>
  </si>
  <si>
    <t xml:space="preserve">As a preparer, I attest for Complex States.</t>
  </si>
  <si>
    <t xml:space="preserve">V61; ComplexStates setting.</t>
  </si>
  <si>
    <t xml:space="preserve">v3 (needs business)</t>
  </si>
  <si>
    <t xml:space="preserve">B43</t>
  </si>
  <si>
    <t xml:space="preserve">Spec v3 §5</t>
  </si>
  <si>
    <t xml:space="preserve">As IT, setup() seeds the v3 lists and migrates data.</t>
  </si>
  <si>
    <t xml:space="preserve">24 / 124 / 373 / 7 / 3 / 2 / 2 / 2 rows; 99281 removed; hidden alias rows; idempotent.</t>
  </si>
  <si>
    <t xml:space="preserve">B44</t>
  </si>
  <si>
    <t xml:space="preserve">Spec v3 §7</t>
  </si>
  <si>
    <t xml:space="preserve">As a preparer, I edit lines in a grid and paste rows from a spreadsheet.</t>
  </si>
  <si>
    <t xml:space="preserve">Tab-separated: description, claim, date, QPA, cost sharing, initial, code, modifiers, POS; each row validated.</t>
  </si>
  <si>
    <t xml:space="preserve">B45</t>
  </si>
  <si>
    <t xml:space="preserve">As a preparer, fixed values show as locked chips.</t>
  </si>
  <si>
    <t xml:space="preserve">location TX, acting_as, plan_role, initiating party, date.</t>
  </si>
  <si>
    <t xml:space="preserve">B46</t>
  </si>
  <si>
    <t xml:space="preserve">Spec v3 §6</t>
  </si>
  <si>
    <t xml:space="preserve">As the US desk, I see the Gateway banner and a 60-minute timer.</t>
  </si>
  <si>
    <t xml:space="preserve">Banner until 2027-01-15; timer warning at 50 minutes.</t>
  </si>
  <si>
    <t xml:space="preserve">B47</t>
  </si>
  <si>
    <t xml:space="preserve">As the US desk, I track the IDRE selection after filing.</t>
  </si>
  <si>
    <t xml:space="preserve">updateIdreSelection: idre_final, idre_status on Filed disputes; no extra status.</t>
  </si>
  <si>
    <t xml:space="preserve">B48</t>
  </si>
  <si>
    <t xml:space="preserve">As a preparer, I complete the conflict of interest attestation.</t>
  </si>
  <si>
    <t xml:space="preserve">third_party_attest (exact question), coi_attest checkbox.</t>
  </si>
  <si>
    <t xml:space="preserve">B49</t>
  </si>
  <si>
    <t xml:space="preserve">Spec v3 §8</t>
  </si>
  <si>
    <t xml:space="preserve">As IT, the node harness covers the v3 rules.</t>
  </si>
  <si>
    <t xml:space="preserve">TIN/NPI, timing bands 30/31/34/35, extension paths, DOS before ON, batch 2–50, 30-day spread, duplicates, formats, characters, plan_role, migration, seed counts.</t>
  </si>
  <si>
    <t xml:space="preserve">B50</t>
  </si>
  <si>
    <t xml:space="preserve">Spec v4 §1</t>
  </si>
  <si>
    <t xml:space="preserve">As an admin, every list lives on Options with Key, Sort and Strict.</t>
  </si>
  <si>
    <t xml:space="preserve">No live hardcoded list; label change visible in getBootstrap; strict lists never learn.</t>
  </si>
  <si>
    <t xml:space="preserve">B51</t>
  </si>
  <si>
    <t xml:space="preserve">As an admin, I reword a portal option without breaking the rules.</t>
  </si>
  <si>
    <t xml:space="preserve">Rules use Keys (L17).</t>
  </si>
  <si>
    <t xml:space="preserve">B52</t>
  </si>
  <si>
    <t xml:space="preserve">Spec v4 §2</t>
  </si>
  <si>
    <t xml:space="preserve">As an admin, I change field labels, help, required, defaults, locked, visible, order.</t>
  </si>
  <si>
    <t xml:space="preserve">Fields tab merge; Admin -&gt; Settings &amp; fields; bad config falls back with a warning.</t>
  </si>
  <si>
    <t xml:space="preserve">B53</t>
  </si>
  <si>
    <t xml:space="preserve">As an admin, tunable numbers and dates are Settings.</t>
  </si>
  <si>
    <t xml:space="preserve">MaxFileMb, DisputeMaxMb, GatewayFrom, GatewayBannerUntil, PortalSessionMinutes, PortalWarnMinutes, StagingDays.</t>
  </si>
  <si>
    <t xml:space="preserve">B54</t>
  </si>
  <si>
    <t xml:space="preserve">Spec v4 §3</t>
  </si>
  <si>
    <t xml:space="preserve">As an admin, only members on the Users tab can open the app, by role.</t>
  </si>
  <si>
    <t xml:space="preserve">Access page for others; role check in every server function (Roles &amp; permissions).</t>
  </si>
  <si>
    <t xml:space="preserve">B55</t>
  </si>
  <si>
    <t xml:space="preserve">As an admin, I manage users without locking us out.</t>
  </si>
  <si>
    <t xml:space="preserve">Add, change, deactivate; never delete; last active Admin protected; Log.</t>
  </si>
  <si>
    <t xml:space="preserve">B56</t>
  </si>
  <si>
    <t xml:space="preserve">Spec v4 §4</t>
  </si>
  <si>
    <t xml:space="preserve">As a preparer, I pick the RCM Specialist and Team with "Add new".</t>
  </si>
  <si>
    <t xml:space="preserve">Email check; learned on save; defaults @me and @myteam.</t>
  </si>
  <si>
    <t xml:space="preserve">B57</t>
  </si>
  <si>
    <t xml:space="preserve">Spec v4 §5</t>
  </si>
  <si>
    <t xml:space="preserve">As an admin, I maintain billing entities on their own tab and screen.</t>
  </si>
  <si>
    <t xml:space="preserve">BillingEntities tab; migration from Options; validations V80; aliases.</t>
  </si>
  <si>
    <t xml:space="preserve">B58</t>
  </si>
  <si>
    <t xml:space="preserve">Spec v4 §6</t>
  </si>
  <si>
    <t xml:space="preserve">As a preparer, I attach documents before saving a new dispute or line.</t>
  </si>
  <si>
    <t xml:space="preserve">Draft token and lineKey staging; relink on save; owner-only; removal works.</t>
  </si>
  <si>
    <t xml:space="preserve">B59</t>
  </si>
  <si>
    <t xml:space="preserve">As IT, staged files that are never saved are cleaned up.</t>
  </si>
  <si>
    <t xml:space="preserve">cleanupStaging_ from setup and dailyMaintenance (installTriggers); StagingDays.</t>
  </si>
  <si>
    <t xml:space="preserve">B60</t>
  </si>
  <si>
    <t xml:space="preserve">Spec v4 §7</t>
  </si>
  <si>
    <t xml:space="preserve">As IT, the harness covers the v4 rules.</t>
  </si>
  <si>
    <t xml:space="preserve">Fields merge, Options-only lists, strict, Keys, roles for every function, last Admin, RCM migration, Add new, entities, staging.</t>
  </si>
  <si>
    <t xml:space="preserve">B61</t>
  </si>
  <si>
    <t xml:space="preserve">Spec v4</t>
  </si>
  <si>
    <t xml:space="preserve">As an admin, I have a configuration guide.</t>
  </si>
  <si>
    <t xml:space="preserve">Sheet "Configuration guide".</t>
  </si>
  <si>
    <t xml:space="preserve">Topic</t>
  </si>
  <si>
    <t xml:space="preserve">Question</t>
  </si>
  <si>
    <t xml:space="preserve">Owner</t>
  </si>
  <si>
    <t xml:space="preserve">Answer / note</t>
  </si>
  <si>
    <t xml:space="preserve">Q01</t>
  </si>
  <si>
    <t xml:space="preserve">US desk users</t>
  </si>
  <si>
    <t xml:space="preserve">Who are the LB Members and US Members, and their teams? Add them on the Users tab (Admin -&gt; Users). Each US Member needs an IDR Gateway account joined to our organization before 2027-01-15.</t>
  </si>
  <si>
    <t xml:space="preserve">Business</t>
  </si>
  <si>
    <t xml:space="preserve">Open</t>
  </si>
  <si>
    <t xml:space="preserve">Q02</t>
  </si>
  <si>
    <t xml:space="preserve">Admins</t>
  </si>
  <si>
    <t xml:space="preserve">Who are the Admins (Users tab, Role Admin)? At least one active Admin is always kept.</t>
  </si>
  <si>
    <t xml:space="preserve">Q03</t>
  </si>
  <si>
    <t xml:space="preserve">Which options does the portal show?</t>
  </si>
  <si>
    <t xml:space="preserve">Answered (v3)</t>
  </si>
  <si>
    <t xml:space="preserve">Guide v15 lists 7 options; seeded as a strict list.</t>
  </si>
  <si>
    <t xml:space="preserve">Q04</t>
  </si>
  <si>
    <t xml:space="preserve">Bundled disputes</t>
  </si>
  <si>
    <t xml:space="preserve">When do we use a bundled dispute?</t>
  </si>
  <si>
    <t xml:space="preserve">Single dispute + bundled Yes; line 1 Bundled, lines 2+ Component (guide 1.6.1.2).</t>
  </si>
  <si>
    <t xml:space="preserve">Q05</t>
  </si>
  <si>
    <t xml:space="preserve">Batching rules</t>
  </si>
  <si>
    <t xml:space="preserve">Which batching rules should the Studio check?</t>
  </si>
  <si>
    <t xml:space="preserve">2–50 lines, dates within 30 business days, DOS before ON start (guide 1.6.1.3).</t>
  </si>
  <si>
    <t xml:space="preserve">Q06</t>
  </si>
  <si>
    <t xml:space="preserve">Teams and RCM Specialists</t>
  </si>
  <si>
    <t xml:space="preserve">Should Team and RCM Specialist have seed values, or only be learned ("Add new")? Should the RCM Specialist default (@me) also apply to Admins?</t>
  </si>
  <si>
    <t xml:space="preserve">Q07</t>
  </si>
  <si>
    <t xml:space="preserve">Modifiers</t>
  </si>
  <si>
    <t xml:space="preserve">Is Service Code Modifier(s) optional?</t>
  </si>
  <si>
    <t xml:space="preserve">Yes: no asterisk in guide v15; 0–4 two-character codes.</t>
  </si>
  <si>
    <t xml:space="preserve">Q08</t>
  </si>
  <si>
    <t xml:space="preserve">Editing Ready disputes</t>
  </si>
  <si>
    <t xml:space="preserve">Should an edit to a Ready dispute move it back to Draft?</t>
  </si>
  <si>
    <t xml:space="preserve">Q09</t>
  </si>
  <si>
    <t xml:space="preserve">DISP-7998956 lines 2–11 have no claim number, date, QPA, POS or location. It is also a "Single dispute" with 11 lines, which v3 rules would block. Was it filed that way?</t>
  </si>
  <si>
    <t xml:space="preserve">Q10</t>
  </si>
  <si>
    <t xml:space="preserve">Deadline time zone</t>
  </si>
  <si>
    <t xml:space="preserve">Which time zone sets "today" for the timing bands (Central)?</t>
  </si>
  <si>
    <t xml:space="preserve">Q11</t>
  </si>
  <si>
    <t xml:space="preserve">Holidays</t>
  </si>
  <si>
    <t xml:space="preserve">Confirm the federal holiday list for 2026 and 2027. Who adds 2028?</t>
  </si>
  <si>
    <t xml:space="preserve">IT</t>
  </si>
  <si>
    <t xml:space="preserve">Q12</t>
  </si>
  <si>
    <t xml:space="preserve">Learning mode</t>
  </si>
  <si>
    <t xml:space="preserve">When does training end and LearningMode switch to Off?</t>
  </si>
  <si>
    <t xml:space="preserve">Q13</t>
  </si>
  <si>
    <t xml:space="preserve">Default share</t>
  </si>
  <si>
    <t xml:space="preserve">Is 0.8 over the last 50 records right?</t>
  </si>
  <si>
    <t xml:space="preserve">Q14</t>
  </si>
  <si>
    <t xml:space="preserve">Plan role</t>
  </si>
  <si>
    <t xml:space="preserve">Which plan role is the default?</t>
  </si>
  <si>
    <t xml:space="preserve">Derived from Health Plan Type (FEHB, Individual, else Group health plan). Confirm the mapping for "No Plan/Issuer Response", Church plan and governmental plans.</t>
  </si>
  <si>
    <t xml:space="preserve">Q15</t>
  </si>
  <si>
    <t xml:space="preserve">Are there more billing entities?</t>
  </si>
  <si>
    <t xml:space="preserve">24 entities on the BillingEntities tab.</t>
  </si>
  <si>
    <t xml:space="preserve">Q16</t>
  </si>
  <si>
    <t xml:space="preserve">Payer fax</t>
  </si>
  <si>
    <t xml:space="preserve">Should we collect payer fax numbers?</t>
  </si>
  <si>
    <t xml:space="preserve">Optional on the portal.</t>
  </si>
  <si>
    <t xml:space="preserve">Q17</t>
  </si>
  <si>
    <t xml:space="preserve">Options Note column</t>
  </si>
  <si>
    <t xml:space="preserve">Keep the Note column, or move its text into Label?</t>
  </si>
  <si>
    <t xml:space="preserve">Q18</t>
  </si>
  <si>
    <t xml:space="preserve">Is Texas on the CMS Complex State list? Which states go into Settings.ComplexStates? Today the setting is empty, so state_attest never shows.</t>
  </si>
  <si>
    <t xml:space="preserve">Business / Compliance</t>
  </si>
  <si>
    <t xml:space="preserve">Q19</t>
  </si>
  <si>
    <t xml:space="preserve">Entity typos</t>
  </si>
  <si>
    <t xml:space="preserve">Confirm the legal spelling (not changed in the seed): "Deerfield plains, LLC" – Lower-case "plains" (Deerfield Plains?).; "Silver choice, PLLC" – Lower-case "choice" (Silver Choice?).; "Cedar Physcians, PLLC" – "Physcians" (Physicians?).; "WRFER University, LLC" – "WRFER" vs "WFRER" in WFRER Denton and WFRER Cooper.; "RSER Benbrook, LLC" – "RSER" (compare TotalCare ER Benbrook, PLLC).</t>
  </si>
  <si>
    <t xml:space="preserve">Q20</t>
  </si>
  <si>
    <t xml:space="preserve">Does the portal count the open negotiation start date as business day 1?</t>
  </si>
  <si>
    <t xml:space="preserve">US desk / IT</t>
  </si>
  <si>
    <t xml:space="preserve">Yes. b counts both days. 09/01/2026 -&gt; ON ends 10/14, window 10/15–10/20; 09/02/2026 -&gt; ON ends 10/15, window 10/16–10/21. Matches the 2 real filings (10/15 and 10/16).</t>
  </si>
  <si>
    <t xml:space="preserve">Q21</t>
  </si>
  <si>
    <t xml:space="preserve">Entity profiles</t>
  </si>
  <si>
    <t xml:space="preserve">We need TIN, NPI, hospital/facility/group name, address, email and phone for the 22 entities with no profile, and a group name for Silver Alliance, LLC (now required). Confirm acting_as for all 24 (guessed from PLLC/LLC).</t>
  </si>
  <si>
    <t xml:space="preserve">Q22</t>
  </si>
  <si>
    <t xml:space="preserve">Payer contact details</t>
  </si>
  <si>
    <t xml:space="preserve">We need IDR mailing address, email and phone (fax optional) for 120 of the 124 payers (only UMR, UHC, BCBS and Cigna have them).</t>
  </si>
  <si>
    <t xml:space="preserve">Q23</t>
  </si>
  <si>
    <t xml:space="preserve">GEHA name</t>
  </si>
  <si>
    <t xml:space="preserve">"GEHA (Government Employees Health Association, Inc.)" has parentheses, which the portal rejects in name fields. Store it as "GEHA Government Employees Health Association, Inc."?</t>
  </si>
  <si>
    <t xml:space="preserve">Q24</t>
  </si>
  <si>
    <t xml:space="preserve">Payer duplicates</t>
  </si>
  <si>
    <t xml:space="preserve">BENEFITS HEALTHSMART vs Healthsmart; UHSS vs UHC Shared Services; Allegiance vs "Allegiance Benefi Plan Management, Inc"; Medica vs Medica Insurance Company; healthnet. Same or different? Also possible typos: "Professional Benefit Administators", "Concord Hospital Entreprises".</t>
  </si>
  <si>
    <t xml:space="preserve">Q25</t>
  </si>
  <si>
    <t xml:space="preserve">Third evidence type</t>
  </si>
  <si>
    <t xml:space="preserve">Guide 1.1 also lists "documents to confirm the certified IDR entity request to re-submit the dispute" for late filings, but the portal shows only 2 extension reasons. Do we need it?</t>
  </si>
  <si>
    <t xml:space="preserve">Q26</t>
  </si>
  <si>
    <t xml:space="preserve">Address line 2</t>
  </si>
  <si>
    <t xml:space="preserve">Guide v15 shows one Mailing Address line. The Studio keeps "Mailing Address Line 2" from v2. Does the portal still show a second line?</t>
  </si>
  <si>
    <t xml:space="preserve">Q27</t>
  </si>
  <si>
    <t xml:space="preserve">Billing entity first</t>
  </si>
  <si>
    <t xml:space="preserve">q_acting_as, TIN and NPI (page 1) come from the billing entity picked on page 3. Should the entity picker also show on page 1?</t>
  </si>
  <si>
    <t xml:space="preserve">Business / UX</t>
  </si>
  <si>
    <t xml:space="preserve">Q28</t>
  </si>
  <si>
    <t xml:space="preserve">v3 preparers as LB Members</t>
  </si>
  <si>
    <t xml:space="preserve">setup() adds everyone who created or updated a non-demo dispute in v3 as an active LB Member (in v3 the whole Workspace could prepare). Is that wanted, or should an admin approve each one first?</t>
  </si>
  <si>
    <t xml:space="preserve">Check Admin -&gt; Users after the upgrade.</t>
  </si>
  <si>
    <t xml:space="preserve">Q29</t>
  </si>
  <si>
    <t xml:space="preserve">Fields labels seeded vs blank</t>
  </si>
  <si>
    <t xml:space="preserve">setup() seeds each Fields row with the built-in label, so a reworded label in a later code version does not replace it. Should Label (and Help) be seeded blank, so the code text applies until an admin overrides it?</t>
  </si>
  <si>
    <t xml:space="preserve">IT / Business</t>
  </si>
  <si>
    <t xml:space="preserve">Today: delete the row and run setup again.</t>
  </si>
  <si>
    <t xml:space="preserve">Q30</t>
  </si>
  <si>
    <t xml:space="preserve">Admin and Ready disputes</t>
  </si>
  <si>
    <t xml:space="preserve">Admins open Ready disputes in the copy desk (with "Open in editor") and may still edit them. Should an Admin edit move a Ready dispute back to Draft, or be logged as a change after review (see Q08)?</t>
  </si>
  <si>
    <t xml:space="preserve">Q31</t>
  </si>
  <si>
    <t xml:space="preserve">Final saveLine/uploadFile check</t>
  </si>
  <si>
    <t xml:space="preserve">A last small fix to the lineNo checks of saveLine and uploadFile may land after this workbook (no signature change). V74 describes the rule as built on 2026-10-26.</t>
  </si>
  <si>
    <t xml:space="preserve">Answered</t>
  </si>
  <si>
    <t xml:space="preserve">Done: saveLine/saveLines refuse a lineNo that is not a saved line of the dispute; uploadFile refuses a lineNo that is not a saved line (drafts included). The staged lineKey path is unchanged.</t>
  </si>
  <si>
    <t xml:space="preserve">Guide section</t>
  </si>
  <si>
    <t xml:space="preserve">What the guide says (v15)</t>
  </si>
  <si>
    <t xml:space="preserve">What changed in the Studio (v3/v4)</t>
  </si>
  <si>
    <t xml:space="preserve">Rule / item IDs</t>
  </si>
  <si>
    <t xml:space="preserve">Change type</t>
  </si>
  <si>
    <t xml:space="preserve">Introduction</t>
  </si>
  <si>
    <t xml:space="preserve">Transition to the IDR Gateway</t>
  </si>
  <si>
    <t xml:space="preserve">From 2026-11-13 the web form moves into the Gateway; the form without sign-in ends 2027-01-15; parties need a Gateway account.</t>
  </si>
  <si>
    <t xml:space="preserve">README, copy-desk banner until 2027-01-15, Workflow calendar rows; US desk users need Gateway accounts (Q01).</t>
  </si>
  <si>
    <t xml:space="preserve">New</t>
  </si>
  <si>
    <t xml:space="preserve">Timing</t>
  </si>
  <si>
    <t xml:space="preserve">Initiate within 4 business days after the 30-business-day open negotiation period.</t>
  </si>
  <si>
    <t xml:space="preserve">Timing bands b &lt; 31 / 31–34 / &gt; 34.</t>
  </si>
  <si>
    <t xml:space="preserve">V13, V14, V43</t>
  </si>
  <si>
    <t xml:space="preserve">Changed</t>
  </si>
  <si>
    <t xml:space="preserve">Duplicate line items</t>
  </si>
  <si>
    <t xml:space="preserve">No repeat of Claim Number + Date of Service + Service Code + Modifier(s), except cooling-off ineligible closures or an approved extension.</t>
  </si>
  <si>
    <t xml:space="preserve">Blocking duplicate check in and across disputes; override with an extension reason.</t>
  </si>
  <si>
    <t xml:space="preserve">V56, V57</t>
  </si>
  <si>
    <t xml:space="preserve">Resubmission form</t>
  </si>
  <si>
    <t xml:space="preserve">Improperly batched/bundled items use "Notice of IDR Initiation – Resubmission".</t>
  </si>
  <si>
    <t xml:space="preserve">Out of scope; README note.</t>
  </si>
  <si>
    <t xml:space="preserve">Dates of service</t>
  </si>
  <si>
    <t xml:space="preserve">DOS before the ON start date; batched DOS within 30 business days unless cooling off applies.</t>
  </si>
  <si>
    <t xml:space="preserve">Blocking checks.</t>
  </si>
  <si>
    <t xml:space="preserve">V47, V37</t>
  </si>
  <si>
    <t xml:space="preserve">Before starting</t>
  </si>
  <si>
    <t xml:space="preserve">Evidence per ON start date; &gt; 34 business days needs extension evidence; one session, 60-minute timeout, nothing saved on exit.</t>
  </si>
  <si>
    <t xml:space="preserve">Batched evidence reminder; extension uploads; 60-minute timer on the copy desk.</t>
  </si>
  <si>
    <t xml:space="preserve">V24, V44–V46, Workflow</t>
  </si>
  <si>
    <t xml:space="preserve">IDR State list</t>
  </si>
  <si>
    <t xml:space="preserve">Check which states have their own processes.</t>
  </si>
  <si>
    <t xml:space="preserve">Complex State attestation via Settings.ComplexStates.</t>
  </si>
  <si>
    <t xml:space="preserve">V61, Q18</t>
  </si>
  <si>
    <t xml:space="preserve">1.2</t>
  </si>
  <si>
    <t xml:space="preserve">Sign in, Disputes &gt; Start a Dispute. Initiating party information shows first.</t>
  </si>
  <si>
    <t xml:space="preserve">Studio page 3 = initiating party, page 4 = non-initiating party.</t>
  </si>
  <si>
    <t xml:space="preserve">Prior to 1/1/2022</t>
  </si>
  <si>
    <t xml:space="preserve">Yes shows an alert.</t>
  </si>
  <si>
    <t xml:space="preserve">Hard stop (unchanged).</t>
  </si>
  <si>
    <t xml:space="preserve">Existing</t>
  </si>
  <si>
    <t xml:space="preserve">I am (or I am acting on behalf of) a</t>
  </si>
  <si>
    <t xml:space="preserve">6 options; no auto-fill from the Gateway organization.</t>
  </si>
  <si>
    <t xml:space="preserve">Only provider or facility; locked chip from the billing entity.</t>
  </si>
  <si>
    <t xml:space="preserve">Not eligible coverage</t>
  </si>
  <si>
    <t xml:space="preserve">Medicare, Medicaid, CHIP, TRICARE, health care sharing ministry.</t>
  </si>
  <si>
    <t xml:space="preserve">Info text under Health Plan Type.</t>
  </si>
  <si>
    <t xml:space="preserve">At least one of the two; TIN 9 digits, NPI 10 digits.</t>
  </si>
  <si>
    <t xml:space="preserve">TIN or NPI (was both).</t>
  </si>
  <si>
    <t xml:space="preserve">V38, V09, V10</t>
  </si>
  <si>
    <t xml:space="preserve">7 dropdown options; "No Plan/Issuer Response" for providers only.</t>
  </si>
  <si>
    <t xml:space="preserve">Strict 7-option dropdown (was a learned combo with 1 value).</t>
  </si>
  <si>
    <t xml:space="preserve">FEHB Enrollment Code</t>
  </si>
  <si>
    <t xml:space="preserve">Three digits when FEHB carrier.</t>
  </si>
  <si>
    <t xml:space="preserve">New conditional field.</t>
  </si>
  <si>
    <t xml:space="preserve">1.3 (7, 8)</t>
  </si>
  <si>
    <t xml:space="preserve">Plan-side questions</t>
  </si>
  <si>
    <t xml:space="preserve">Self-insured opted into state law; fully vs self-insured.</t>
  </si>
  <si>
    <t xml:space="preserve">Not built (we never initiate as a plan).</t>
  </si>
  <si>
    <t xml:space="preserve">Open negotiation start + evidence</t>
  </si>
  <si>
    <t xml:space="preserve">Upload evidence; 500 MB per dispute; &lt; 31 business days -&gt; error; &gt; 34 -&gt; extension reasons.</t>
  </si>
  <si>
    <t xml:space="preserve">Timing bands with the start date as day 1 (both days counted); before day 31 Ready is allowed but US desk filing waits ("Not open yet"); 500 MB total.</t>
  </si>
  <si>
    <t xml:space="preserve">V43, V13, V14, V60</t>
  </si>
  <si>
    <t xml:space="preserve">1.3 (9c)</t>
  </si>
  <si>
    <t xml:space="preserve">Extension reasons</t>
  </si>
  <si>
    <t xml:space="preserve">(i) extension approval upload; (ii) cooling off: DISP number + payment determination upload.</t>
  </si>
  <si>
    <t xml:space="preserve">extension_reason radio with exact texts; conditional uploads and DISP field.</t>
  </si>
  <si>
    <t xml:space="preserve">V44, V45, V46</t>
  </si>
  <si>
    <t xml:space="preserve">Consent to waive</t>
  </si>
  <si>
    <t xml:space="preserve">Yes shows a message.</t>
  </si>
  <si>
    <t xml:space="preserve">Hard stop; label text updated.</t>
  </si>
  <si>
    <t xml:space="preserve">Single (with bundled Yes/No) or batched (with qualification pop-up).</t>
  </si>
  <si>
    <t xml:space="preserve">dispute_type, bundled_payment, batch_qualifies; dispute_kind derived; migration of old values.</t>
  </si>
  <si>
    <t xml:space="preserve">V62, B37</t>
  </si>
  <si>
    <t xml:space="preserve">Air ambulance pop-up</t>
  </si>
  <si>
    <t xml:space="preserve">Shown for air ambulance providers.</t>
  </si>
  <si>
    <t xml:space="preserve">Not built.</t>
  </si>
  <si>
    <t xml:space="preserve">Contact Information</t>
  </si>
  <si>
    <t xml:space="preserve">Initiating party first; POC name -&gt; full contact incl. mailing address.</t>
  </si>
  <si>
    <t xml:space="preserve">Page order swapped; POC completeness rule.</t>
  </si>
  <si>
    <t xml:space="preserve">1.5.1</t>
  </si>
  <si>
    <t xml:space="preserve">Initiating party fields</t>
  </si>
  <si>
    <t xml:space="preserve">*Health care provider name, *Hospital, Health Care Facility or Group Name, *Email, *Phone, Fax, *Mailing Address, *City, *State, *ZIP Code.</t>
  </si>
  <si>
    <t xml:space="preserve">Group name now required; one address line; state default TX; prov_designation removed.</t>
  </si>
  <si>
    <t xml:space="preserve">1.5.2</t>
  </si>
  <si>
    <t xml:space="preserve">Non-initiating party fields</t>
  </si>
  <si>
    <t xml:space="preserve">*Select one of the insurance provider types below (3) + plan contact.</t>
  </si>
  <si>
    <t xml:space="preserve">plan_role derived from Health Plan Type, editable; Payer list = 124 non-initiating parties.</t>
  </si>
  <si>
    <t xml:space="preserve">Name characters</t>
  </si>
  <si>
    <t xml:space="preserve">, - ’ . accents &amp; ~ allowed.</t>
  </si>
  <si>
    <t xml:space="preserve">Blocking check with a Fix button; seeded names checked (GEHA flagged).</t>
  </si>
  <si>
    <t xml:space="preserve">V58, Q23</t>
  </si>
  <si>
    <t xml:space="preserve">Address characters</t>
  </si>
  <si>
    <t xml:space="preserve"># , - ’ . accents &amp; ~ / \ : allowed.</t>
  </si>
  <si>
    <t xml:space="preserve">Blocking check with a Fix button.</t>
  </si>
  <si>
    <t xml:space="preserve">1.6</t>
  </si>
  <si>
    <t xml:space="preserve">State processes (FEHB / ERISA opted in)</t>
  </si>
  <si>
    <t xml:space="preserve">Ask the state how to handle the dispute.</t>
  </si>
  <si>
    <t xml:space="preserve">Info only.</t>
  </si>
  <si>
    <t xml:space="preserve">Line item kinds</t>
  </si>
  <si>
    <t xml:space="preserve">Single – Not Bundled, Single – Bundled, Batched.</t>
  </si>
  <si>
    <t xml:space="preserve">dispute_kind values renamed to the portal kinds.</t>
  </si>
  <si>
    <t xml:space="preserve">V52–V55</t>
  </si>
  <si>
    <t xml:space="preserve">Line fields</t>
  </si>
  <si>
    <t xml:space="preserve">Claim Number up to 40 alphanumeric; DOS before ON; *QPA; *Cost sharing; item types; Service Code 5 characters; up to 4 two-character modifiers (semicolon); POS 2 digits; Location (state); upload.</t>
  </si>
  <si>
    <t xml:space="preserve">Formats and required flags updated; location fixed TX; cost sharing required.</t>
  </si>
  <si>
    <t xml:space="preserve">V19, V23, V47–V51</t>
  </si>
  <si>
    <t xml:space="preserve">Complex State attestation</t>
  </si>
  <si>
    <t xml:space="preserve">Required statement for Complex State list states.</t>
  </si>
  <si>
    <t xml:space="preserve">state_attest checkbox when location is in ComplexStates.</t>
  </si>
  <si>
    <t xml:space="preserve">Bundled line types</t>
  </si>
  <si>
    <t xml:space="preserve">Line 1 Bundled Item or Service; others Component (optional).</t>
  </si>
  <si>
    <t xml:space="preserve">Read-only line_type column.</t>
  </si>
  <si>
    <t xml:space="preserve">1.6.1.3</t>
  </si>
  <si>
    <t xml:space="preserve">Batched limit</t>
  </si>
  <si>
    <t xml:space="preserve">At most 50 lines when ON start &gt;= 2026-11-01; DOS within 30 business days.</t>
  </si>
  <si>
    <t xml:space="preserve">Blocking checks with the portal message.</t>
  </si>
  <si>
    <t xml:space="preserve">V55, V37</t>
  </si>
  <si>
    <t xml:space="preserve">Save rules</t>
  </si>
  <si>
    <t xml:space="preserve">Single not bundled: 1 line, no Cancel Line Item; batched: at least 2 lines.</t>
  </si>
  <si>
    <t xml:space="preserve">No Add line for single not bundled; batched minimum.</t>
  </si>
  <si>
    <t xml:space="preserve">V52, V54</t>
  </si>
  <si>
    <t xml:space="preserve">Summary table</t>
  </si>
  <si>
    <t xml:space="preserve">Columns: Description, Claim Number, (Line Item Type), Date, QPA, Location, Service Code, Modifier(s), POS, Actions.</t>
  </si>
  <si>
    <t xml:space="preserve">Line grid mirrors it; copy-desk order follows it; bulk paste.</t>
  </si>
  <si>
    <t xml:space="preserve">B44, Fields</t>
  </si>
  <si>
    <t xml:space="preserve">IDRE selection</t>
  </si>
  <si>
    <t xml:space="preserve">*IDRE legal business name dropdown.</t>
  </si>
  <si>
    <t xml:space="preserve">Label updated.</t>
  </si>
  <si>
    <t xml:space="preserve">Conflict of interest</t>
  </si>
  <si>
    <t xml:space="preserve">Third-party question (Yes/No), COI attestation checkbox, auto Initiating party and Date.</t>
  </si>
  <si>
    <t xml:space="preserve">Exact question text; new coi_attest; locked chips.</t>
  </si>
  <si>
    <t xml:space="preserve">V27, V63</t>
  </si>
  <si>
    <t xml:space="preserve">Additional documentation</t>
  </si>
  <si>
    <t xml:space="preserve">500 MB per dispute with the portal message.</t>
  </si>
  <si>
    <t xml:space="preserve">Total size check.</t>
  </si>
  <si>
    <t xml:space="preserve">Edit by section; changing the dispute type means re-entering line items.</t>
  </si>
  <si>
    <t xml:space="preserve">Studio page 7 summary + confirmation PDF; copy-desk note.</t>
  </si>
  <si>
    <t xml:space="preserve">Workflow</t>
  </si>
  <si>
    <t xml:space="preserve">Confirmation</t>
  </si>
  <si>
    <t xml:space="preserve">Save as PDF; send the non-initiating party a copy the same day; IDRE selection notice; accept or deny an alternate IDRE.</t>
  </si>
  <si>
    <t xml:space="preserve">Mark Filed needs the notice PDF and NIP date/method; same-day warning; IDRE tracking.</t>
  </si>
  <si>
    <t xml:space="preserve">V29, V65, V66, V67, B47</t>
  </si>
  <si>
    <t xml:space="preserve">Appendix A</t>
  </si>
  <si>
    <t xml:space="preserve">Acronyms</t>
  </si>
  <si>
    <t xml:space="preserve">CHIP, CMS, COI, ERISA, FEHB, IDR, NPI, NSA, OPM, QPA, TIN, TPA.</t>
  </si>
  <si>
    <t xml:space="preserve">No change.</t>
  </si>
  <si>
    <t xml:space="preserve">(all sections)</t>
  </si>
  <si>
    <t xml:space="preserve">Portal wording changes</t>
  </si>
  <si>
    <t xml:space="preserve">CMS can reword labels and options in a later guide version.</t>
  </si>
  <si>
    <t xml:space="preserve">v4: admins reword option Values (Key kept) in Admin -&gt; Lists and field Labels/Help in Settings &amp; fields; the rules use Keys.</t>
  </si>
  <si>
    <t xml:space="preserve">L17, L19, B51</t>
  </si>
  <si>
    <t xml:space="preserve">Config (v4)</t>
  </si>
  <si>
    <t xml:space="preserve">Transition 2026-11-13; no-sign-in form ends 2027-01-15.</t>
  </si>
  <si>
    <t xml:space="preserve">v4: Settings GatewayFrom and GatewayBannerUntil drive the copy desk banner.</t>
  </si>
  <si>
    <t xml:space="preserve">60-minute session</t>
  </si>
  <si>
    <t xml:space="preserve">Time-out after 60 minutes of inactivity.</t>
  </si>
  <si>
    <t xml:space="preserve">v4: Settings PortalSessionMinutes (60) and PortalWarnMinutes (50) drive the copy desk timer.</t>
  </si>
  <si>
    <t xml:space="preserve">500 MB for the whole dispute.</t>
  </si>
  <si>
    <t xml:space="preserve">v4: Settings DisputeMaxMb (at most 500) and MaxFileMb (at most 45, Apps Script); files can be attached before saving.</t>
  </si>
  <si>
    <t xml:space="preserve">V35, V60, B58</t>
  </si>
  <si>
    <t xml:space="preserve">Who files</t>
  </si>
  <si>
    <t xml:space="preserve">The initiating party submits and notifies the non-initiating party.</t>
  </si>
  <si>
    <t xml:space="preserve">v4: only US Members and Admins can mark filed, return or record the IDRE selection (server role check).</t>
  </si>
  <si>
    <t xml:space="preserve">V69, V72</t>
  </si>
</sst>
</file>

<file path=xl/styles.xml><?xml version="1.0" encoding="utf-8"?>
<styleSheet xmlns="http://schemas.openxmlformats.org/spreadsheetml/2006/main">
  <numFmts count="3">
    <numFmt numFmtId="164" formatCode="General"/>
    <numFmt numFmtId="165" formatCode="#,##0.00"/>
    <numFmt numFmtId="166" formatCode="0%"/>
  </numFmts>
  <fonts count="8">
    <font>
      <sz val="11"/>
      <color theme="1"/>
      <name val="Calibri"/>
      <family val="2"/>
      <charset val="1"/>
    </font>
    <font>
      <sz val="10"/>
      <name val="Arial"/>
      <family val="0"/>
    </font>
    <font>
      <sz val="10"/>
      <name val="Arial"/>
      <family val="0"/>
    </font>
    <font>
      <sz val="10"/>
      <name val="Arial"/>
      <family val="0"/>
    </font>
    <font>
      <b val="true"/>
      <sz val="14"/>
      <color rgb="FF003B5C"/>
      <name val="Arial"/>
      <family val="0"/>
      <charset val="1"/>
    </font>
    <font>
      <b val="true"/>
      <sz val="10"/>
      <name val="Arial"/>
      <family val="0"/>
      <charset val="1"/>
    </font>
    <font>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003B5C"/>
        <bgColor rgb="FF003300"/>
      </patternFill>
    </fill>
    <fill>
      <patternFill patternType="solid">
        <fgColor rgb="FFEDEDED"/>
        <bgColor rgb="FFFCE4D6"/>
      </patternFill>
    </fill>
    <fill>
      <patternFill patternType="solid">
        <fgColor rgb="FFFCE4D6"/>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03B5C"/>
          <bgColor rgb="FF000000"/>
        </patternFill>
      </fill>
    </dxf>
    <dxf>
      <fill>
        <patternFill patternType="solid">
          <bgColor rgb="FF000000"/>
        </patternFill>
      </fill>
    </dxf>
    <dxf>
      <fill>
        <patternFill patternType="solid">
          <fgColor rgb="FFFFFFFF"/>
          <bgColor rgb="FF000000"/>
        </patternFill>
      </fill>
    </dxf>
    <dxf>
      <fill>
        <patternFill patternType="solid">
          <fgColor rgb="FFEDEDED"/>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B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5"/>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35.05" hidden="false" customHeight="false" outlineLevel="0" collapsed="false">
      <c r="A6" s="2" t="s">
        <v>7</v>
      </c>
      <c r="B6" s="3" t="s">
        <v>8</v>
      </c>
    </row>
    <row r="7" customFormat="false" ht="23.85" hidden="false" customHeight="false" outlineLevel="0" collapsed="false">
      <c r="A7" s="2" t="s">
        <v>9</v>
      </c>
      <c r="B7" s="3" t="s">
        <v>10</v>
      </c>
    </row>
    <row r="8" customFormat="false" ht="23.85" hidden="false" customHeight="false" outlineLevel="0" collapsed="false">
      <c r="A8" s="2" t="s">
        <v>11</v>
      </c>
      <c r="B8" s="3" t="s">
        <v>12</v>
      </c>
    </row>
    <row r="9" customFormat="false" ht="23.85" hidden="false" customHeight="false" outlineLevel="0" collapsed="false">
      <c r="A9" s="2" t="s">
        <v>13</v>
      </c>
      <c r="B9" s="3" t="s">
        <v>14</v>
      </c>
    </row>
    <row r="10" customFormat="false" ht="23.85" hidden="false" customHeight="false" outlineLevel="0" collapsed="false">
      <c r="A10" s="2" t="s">
        <v>15</v>
      </c>
      <c r="B10" s="3" t="s">
        <v>16</v>
      </c>
    </row>
    <row r="11" customFormat="false" ht="23.85" hidden="false" customHeight="false" outlineLevel="0" collapsed="false">
      <c r="A11" s="2" t="s">
        <v>17</v>
      </c>
      <c r="B11" s="3" t="s">
        <v>18</v>
      </c>
    </row>
    <row r="12" customFormat="false" ht="23.85" hidden="false" customHeight="false" outlineLevel="0" collapsed="false">
      <c r="A12" s="2" t="s">
        <v>19</v>
      </c>
      <c r="B12" s="3" t="s">
        <v>20</v>
      </c>
    </row>
    <row r="13" customFormat="false" ht="23.85" hidden="false" customHeight="false" outlineLevel="0" collapsed="false">
      <c r="A13" s="2" t="s">
        <v>21</v>
      </c>
      <c r="B13" s="3" t="s">
        <v>22</v>
      </c>
    </row>
    <row r="14" customFormat="false" ht="23.85" hidden="false" customHeight="false" outlineLevel="0" collapsed="false">
      <c r="A14" s="2" t="s">
        <v>23</v>
      </c>
      <c r="B14" s="3" t="s">
        <v>24</v>
      </c>
    </row>
    <row r="15" customFormat="false" ht="23.85" hidden="false" customHeight="false" outlineLevel="0" collapsed="false">
      <c r="A15" s="2" t="s">
        <v>25</v>
      </c>
      <c r="B15" s="3" t="s">
        <v>26</v>
      </c>
    </row>
    <row r="16" customFormat="false" ht="35.05" hidden="false" customHeight="false" outlineLevel="0" collapsed="false">
      <c r="A16" s="2" t="s">
        <v>27</v>
      </c>
      <c r="B16" s="3" t="s">
        <v>28</v>
      </c>
    </row>
    <row r="17" customFormat="false" ht="15" hidden="false" customHeight="false" outlineLevel="0" collapsed="false">
      <c r="A17" s="2" t="s">
        <v>29</v>
      </c>
      <c r="B17" s="3" t="s">
        <v>30</v>
      </c>
    </row>
    <row r="18" customFormat="false" ht="15" hidden="false" customHeight="false" outlineLevel="0" collapsed="false">
      <c r="A18" s="2" t="s">
        <v>31</v>
      </c>
      <c r="B18" s="3" t="s">
        <v>32</v>
      </c>
    </row>
    <row r="19" customFormat="false" ht="23.85" hidden="false" customHeight="false" outlineLevel="0" collapsed="false">
      <c r="A19" s="2"/>
      <c r="B19" s="3" t="s">
        <v>33</v>
      </c>
    </row>
    <row r="20" customFormat="false" ht="15" hidden="false" customHeight="false" outlineLevel="0" collapsed="false">
      <c r="A20" s="2"/>
      <c r="B20" s="3" t="s">
        <v>34</v>
      </c>
    </row>
    <row r="21" customFormat="false" ht="15" hidden="false" customHeight="false" outlineLevel="0" collapsed="false">
      <c r="A21" s="2"/>
      <c r="B21" s="3" t="s">
        <v>35</v>
      </c>
    </row>
    <row r="22" customFormat="false" ht="15" hidden="false" customHeight="false" outlineLevel="0" collapsed="false">
      <c r="A22" s="2"/>
      <c r="B22" s="3" t="s">
        <v>36</v>
      </c>
    </row>
    <row r="23" customFormat="false" ht="15" hidden="false" customHeight="false" outlineLevel="0" collapsed="false">
      <c r="A23" s="2"/>
      <c r="B23" s="3" t="s">
        <v>37</v>
      </c>
    </row>
    <row r="24" customFormat="false" ht="15" hidden="false" customHeight="false" outlineLevel="0" collapsed="false">
      <c r="A24" s="2" t="s">
        <v>38</v>
      </c>
      <c r="B24" s="3" t="s">
        <v>39</v>
      </c>
    </row>
    <row r="25" customFormat="false" ht="23.85" hidden="false" customHeight="false" outlineLevel="0" collapsed="false">
      <c r="A25" s="2" t="s">
        <v>40</v>
      </c>
      <c r="B25" s="3" t="s">
        <v>41</v>
      </c>
    </row>
    <row r="26" customFormat="false" ht="23.85" hidden="false" customHeight="false" outlineLevel="0" collapsed="false">
      <c r="A26" s="2" t="s">
        <v>42</v>
      </c>
      <c r="B26" s="3" t="s">
        <v>43</v>
      </c>
    </row>
    <row r="27" customFormat="false" ht="15" hidden="false" customHeight="false" outlineLevel="0" collapsed="false">
      <c r="A27" s="2" t="s">
        <v>44</v>
      </c>
      <c r="B27" s="3" t="s">
        <v>45</v>
      </c>
    </row>
    <row r="28" customFormat="false" ht="15" hidden="false" customHeight="false" outlineLevel="0" collapsed="false">
      <c r="A28" s="2" t="s">
        <v>46</v>
      </c>
      <c r="B28" s="3" t="s">
        <v>47</v>
      </c>
    </row>
    <row r="29" customFormat="false" ht="23.85" hidden="false" customHeight="false" outlineLevel="0" collapsed="false">
      <c r="A29" s="2" t="s">
        <v>48</v>
      </c>
      <c r="B29" s="3"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6"/>
    <col collapsed="false" customWidth="true" hidden="false" outlineLevel="0" max="3" min="3" style="0" width="26"/>
    <col collapsed="false" customWidth="true" hidden="false" outlineLevel="0" max="4" min="4" style="0" width="20"/>
    <col collapsed="false" customWidth="true" hidden="false" outlineLevel="0" max="5" min="5" style="0" width="40"/>
    <col collapsed="false" customWidth="true" hidden="false" outlineLevel="0" max="6" min="6" style="0" width="50"/>
    <col collapsed="false" customWidth="true" hidden="false" outlineLevel="0" max="7" min="7" style="0" width="18"/>
    <col collapsed="false" customWidth="true" hidden="false" outlineLevel="0" max="8" min="8" style="0" width="46"/>
  </cols>
  <sheetData>
    <row r="1" customFormat="false" ht="30" hidden="false" customHeight="true" outlineLevel="0" collapsed="false">
      <c r="A1" s="4" t="s">
        <v>50</v>
      </c>
      <c r="B1" s="4" t="s">
        <v>51</v>
      </c>
      <c r="C1" s="4" t="s">
        <v>52</v>
      </c>
      <c r="D1" s="4" t="s">
        <v>53</v>
      </c>
      <c r="E1" s="4" t="s">
        <v>54</v>
      </c>
      <c r="F1" s="4" t="s">
        <v>55</v>
      </c>
      <c r="G1" s="4" t="s">
        <v>56</v>
      </c>
      <c r="H1" s="4" t="s">
        <v>57</v>
      </c>
    </row>
    <row r="2" customFormat="false" ht="23.85" hidden="false" customHeight="false" outlineLevel="0" collapsed="false">
      <c r="A2" s="5" t="s">
        <v>58</v>
      </c>
      <c r="B2" s="5" t="s">
        <v>59</v>
      </c>
      <c r="C2" s="5" t="s">
        <v>60</v>
      </c>
      <c r="D2" s="5" t="s">
        <v>61</v>
      </c>
      <c r="E2" s="5" t="s">
        <v>62</v>
      </c>
      <c r="F2" s="5" t="s">
        <v>63</v>
      </c>
      <c r="G2" s="5" t="s">
        <v>64</v>
      </c>
      <c r="H2" s="5" t="s">
        <v>65</v>
      </c>
    </row>
    <row r="3" customFormat="false" ht="15" hidden="false" customHeight="false" outlineLevel="0" collapsed="false">
      <c r="A3" s="5" t="s">
        <v>58</v>
      </c>
      <c r="B3" s="5" t="s">
        <v>66</v>
      </c>
      <c r="C3" s="5" t="s">
        <v>60</v>
      </c>
      <c r="D3" s="5" t="s">
        <v>61</v>
      </c>
      <c r="E3" s="5" t="s">
        <v>67</v>
      </c>
      <c r="F3" s="5" t="s">
        <v>68</v>
      </c>
      <c r="G3" s="5" t="s">
        <v>64</v>
      </c>
      <c r="H3" s="5" t="s">
        <v>69</v>
      </c>
    </row>
    <row r="4" customFormat="false" ht="15" hidden="false" customHeight="false" outlineLevel="0" collapsed="false">
      <c r="A4" s="5" t="s">
        <v>58</v>
      </c>
      <c r="B4" s="5" t="s">
        <v>70</v>
      </c>
      <c r="C4" s="5" t="s">
        <v>60</v>
      </c>
      <c r="D4" s="5" t="s">
        <v>61</v>
      </c>
      <c r="E4" s="5" t="s">
        <v>71</v>
      </c>
      <c r="F4" s="5" t="s">
        <v>72</v>
      </c>
      <c r="G4" s="5" t="s">
        <v>64</v>
      </c>
      <c r="H4" s="5" t="s">
        <v>73</v>
      </c>
    </row>
    <row r="5" customFormat="false" ht="23.85" hidden="false" customHeight="false" outlineLevel="0" collapsed="false">
      <c r="A5" s="5" t="s">
        <v>74</v>
      </c>
      <c r="B5" s="5" t="s">
        <v>75</v>
      </c>
      <c r="C5" s="5" t="s">
        <v>76</v>
      </c>
      <c r="D5" s="5" t="s">
        <v>77</v>
      </c>
      <c r="E5" s="5" t="s">
        <v>78</v>
      </c>
      <c r="F5" s="5" t="s">
        <v>79</v>
      </c>
      <c r="G5" s="5" t="s">
        <v>80</v>
      </c>
      <c r="H5" s="5" t="s">
        <v>81</v>
      </c>
    </row>
    <row r="6" customFormat="false" ht="15" hidden="false" customHeight="false" outlineLevel="0" collapsed="false">
      <c r="A6" s="5" t="s">
        <v>74</v>
      </c>
      <c r="B6" s="5" t="s">
        <v>82</v>
      </c>
      <c r="C6" s="5" t="s">
        <v>83</v>
      </c>
      <c r="D6" s="5" t="s">
        <v>77</v>
      </c>
      <c r="E6" s="5" t="s">
        <v>84</v>
      </c>
      <c r="F6" s="5" t="s">
        <v>85</v>
      </c>
      <c r="G6" s="5" t="s">
        <v>86</v>
      </c>
      <c r="H6" s="5" t="s">
        <v>87</v>
      </c>
    </row>
    <row r="7" customFormat="false" ht="35.05" hidden="false" customHeight="false" outlineLevel="0" collapsed="false">
      <c r="A7" s="5" t="s">
        <v>74</v>
      </c>
      <c r="B7" s="5" t="s">
        <v>88</v>
      </c>
      <c r="C7" s="5" t="s">
        <v>83</v>
      </c>
      <c r="D7" s="5" t="s">
        <v>77</v>
      </c>
      <c r="E7" s="5" t="s">
        <v>89</v>
      </c>
      <c r="F7" s="5" t="s">
        <v>90</v>
      </c>
      <c r="G7" s="5" t="s">
        <v>86</v>
      </c>
      <c r="H7" s="5" t="s">
        <v>91</v>
      </c>
    </row>
    <row r="8" customFormat="false" ht="15" hidden="false" customHeight="false" outlineLevel="0" collapsed="false">
      <c r="A8" s="5" t="s">
        <v>74</v>
      </c>
      <c r="B8" s="5" t="s">
        <v>92</v>
      </c>
      <c r="C8" s="5" t="s">
        <v>83</v>
      </c>
      <c r="D8" s="5" t="s">
        <v>77</v>
      </c>
      <c r="E8" s="5" t="s">
        <v>93</v>
      </c>
      <c r="F8" s="5" t="s">
        <v>94</v>
      </c>
      <c r="G8" s="5" t="s">
        <v>86</v>
      </c>
      <c r="H8" s="5"/>
    </row>
    <row r="9" customFormat="false" ht="15" hidden="false" customHeight="false" outlineLevel="0" collapsed="false">
      <c r="A9" s="5" t="s">
        <v>74</v>
      </c>
      <c r="B9" s="5" t="s">
        <v>95</v>
      </c>
      <c r="C9" s="5" t="s">
        <v>96</v>
      </c>
      <c r="D9" s="5" t="s">
        <v>77</v>
      </c>
      <c r="E9" s="5" t="s">
        <v>97</v>
      </c>
      <c r="F9" s="5" t="s">
        <v>98</v>
      </c>
      <c r="G9" s="5" t="s">
        <v>86</v>
      </c>
      <c r="H9" s="5" t="s">
        <v>99</v>
      </c>
    </row>
    <row r="10" customFormat="false" ht="15" hidden="false" customHeight="false" outlineLevel="0" collapsed="false">
      <c r="A10" s="5" t="s">
        <v>74</v>
      </c>
      <c r="B10" s="5" t="s">
        <v>100</v>
      </c>
      <c r="C10" s="5" t="s">
        <v>101</v>
      </c>
      <c r="D10" s="5" t="s">
        <v>77</v>
      </c>
      <c r="E10" s="5" t="s">
        <v>102</v>
      </c>
      <c r="F10" s="5" t="s">
        <v>103</v>
      </c>
      <c r="G10" s="5" t="s">
        <v>104</v>
      </c>
      <c r="H10" s="5" t="s">
        <v>105</v>
      </c>
    </row>
    <row r="11" customFormat="false" ht="15" hidden="false" customHeight="false" outlineLevel="0" collapsed="false">
      <c r="A11" s="5" t="s">
        <v>74</v>
      </c>
      <c r="B11" s="5" t="s">
        <v>106</v>
      </c>
      <c r="C11" s="5" t="s">
        <v>107</v>
      </c>
      <c r="D11" s="5" t="s">
        <v>77</v>
      </c>
      <c r="E11" s="5" t="s">
        <v>108</v>
      </c>
      <c r="F11" s="5" t="s">
        <v>109</v>
      </c>
      <c r="G11" s="5" t="s">
        <v>86</v>
      </c>
      <c r="H11" s="5"/>
    </row>
    <row r="12" customFormat="false" ht="23.85" hidden="false" customHeight="false" outlineLevel="0" collapsed="false">
      <c r="A12" s="5" t="s">
        <v>110</v>
      </c>
      <c r="B12" s="5" t="s">
        <v>111</v>
      </c>
      <c r="C12" s="5" t="s">
        <v>112</v>
      </c>
      <c r="D12" s="5" t="s">
        <v>113</v>
      </c>
      <c r="E12" s="5" t="s">
        <v>114</v>
      </c>
      <c r="F12" s="5" t="s">
        <v>115</v>
      </c>
      <c r="G12" s="5" t="s">
        <v>86</v>
      </c>
      <c r="H12" s="5" t="s">
        <v>116</v>
      </c>
    </row>
    <row r="13" customFormat="false" ht="23.85" hidden="false" customHeight="false" outlineLevel="0" collapsed="false">
      <c r="A13" s="5" t="s">
        <v>110</v>
      </c>
      <c r="B13" s="5" t="s">
        <v>117</v>
      </c>
      <c r="C13" s="5" t="s">
        <v>112</v>
      </c>
      <c r="D13" s="5" t="s">
        <v>113</v>
      </c>
      <c r="E13" s="5" t="s">
        <v>118</v>
      </c>
      <c r="F13" s="5" t="s">
        <v>119</v>
      </c>
      <c r="G13" s="5" t="s">
        <v>86</v>
      </c>
      <c r="H13" s="5"/>
    </row>
    <row r="14" customFormat="false" ht="15" hidden="false" customHeight="false" outlineLevel="0" collapsed="false">
      <c r="A14" s="5" t="s">
        <v>110</v>
      </c>
      <c r="B14" s="5" t="s">
        <v>120</v>
      </c>
      <c r="C14" s="5" t="s">
        <v>112</v>
      </c>
      <c r="D14" s="5" t="s">
        <v>113</v>
      </c>
      <c r="E14" s="5" t="s">
        <v>121</v>
      </c>
      <c r="F14" s="5" t="s">
        <v>122</v>
      </c>
      <c r="G14" s="5" t="s">
        <v>86</v>
      </c>
      <c r="H14" s="5"/>
    </row>
    <row r="15" customFormat="false" ht="23.85" hidden="false" customHeight="false" outlineLevel="0" collapsed="false">
      <c r="A15" s="5" t="s">
        <v>123</v>
      </c>
      <c r="B15" s="5" t="s">
        <v>124</v>
      </c>
      <c r="C15" s="5" t="s">
        <v>125</v>
      </c>
      <c r="D15" s="5" t="s">
        <v>123</v>
      </c>
      <c r="E15" s="5" t="s">
        <v>126</v>
      </c>
      <c r="F15" s="5" t="s">
        <v>68</v>
      </c>
      <c r="G15" s="5" t="s">
        <v>127</v>
      </c>
      <c r="H15" s="5" t="s">
        <v>128</v>
      </c>
    </row>
    <row r="16" customFormat="false" ht="15" hidden="false" customHeight="false" outlineLevel="0" collapsed="false">
      <c r="A16" s="5" t="s">
        <v>123</v>
      </c>
      <c r="B16" s="5" t="s">
        <v>129</v>
      </c>
      <c r="C16" s="5" t="s">
        <v>125</v>
      </c>
      <c r="D16" s="5" t="s">
        <v>123</v>
      </c>
      <c r="E16" s="5" t="s">
        <v>130</v>
      </c>
      <c r="F16" s="5" t="s">
        <v>131</v>
      </c>
      <c r="G16" s="5" t="s">
        <v>86</v>
      </c>
      <c r="H16" s="5" t="s">
        <v>132</v>
      </c>
    </row>
    <row r="17" customFormat="false" ht="23.85" hidden="false" customHeight="false" outlineLevel="0" collapsed="false">
      <c r="A17" s="5" t="s">
        <v>123</v>
      </c>
      <c r="B17" s="5" t="s">
        <v>133</v>
      </c>
      <c r="C17" s="5" t="s">
        <v>125</v>
      </c>
      <c r="D17" s="5" t="s">
        <v>123</v>
      </c>
      <c r="E17" s="5" t="s">
        <v>134</v>
      </c>
      <c r="F17" s="5" t="s">
        <v>135</v>
      </c>
      <c r="G17" s="5" t="s">
        <v>86</v>
      </c>
      <c r="H17" s="5" t="s">
        <v>136</v>
      </c>
    </row>
    <row r="18" customFormat="false" ht="15" hidden="false" customHeight="false" outlineLevel="0" collapsed="false">
      <c r="A18" s="5" t="s">
        <v>123</v>
      </c>
      <c r="B18" s="5" t="s">
        <v>137</v>
      </c>
      <c r="C18" s="5" t="s">
        <v>125</v>
      </c>
      <c r="D18" s="5" t="s">
        <v>123</v>
      </c>
      <c r="E18" s="5" t="s">
        <v>138</v>
      </c>
      <c r="F18" s="5" t="s">
        <v>68</v>
      </c>
      <c r="G18" s="5" t="s">
        <v>86</v>
      </c>
      <c r="H18" s="5" t="s">
        <v>139</v>
      </c>
    </row>
    <row r="19" customFormat="false" ht="15" hidden="false" customHeight="false" outlineLevel="0" collapsed="false">
      <c r="A19" s="5" t="s">
        <v>123</v>
      </c>
      <c r="B19" s="5" t="s">
        <v>140</v>
      </c>
      <c r="C19" s="5" t="s">
        <v>101</v>
      </c>
      <c r="D19" s="5" t="s">
        <v>123</v>
      </c>
      <c r="E19" s="5" t="s">
        <v>141</v>
      </c>
      <c r="F19" s="5" t="s">
        <v>142</v>
      </c>
      <c r="G19" s="5" t="s">
        <v>104</v>
      </c>
      <c r="H19" s="5" t="s">
        <v>143</v>
      </c>
    </row>
    <row r="20" customFormat="false" ht="15" hidden="false" customHeight="false" outlineLevel="0" collapsed="false">
      <c r="A20" s="5" t="s">
        <v>144</v>
      </c>
      <c r="B20" s="5" t="s">
        <v>145</v>
      </c>
      <c r="C20" s="5" t="s">
        <v>125</v>
      </c>
      <c r="D20" s="5" t="s">
        <v>144</v>
      </c>
      <c r="E20" s="5" t="s">
        <v>146</v>
      </c>
      <c r="F20" s="5" t="s">
        <v>147</v>
      </c>
      <c r="G20" s="5" t="s">
        <v>86</v>
      </c>
      <c r="H20" s="5" t="s">
        <v>148</v>
      </c>
    </row>
    <row r="21" customFormat="false" ht="15" hidden="false" customHeight="false" outlineLevel="0" collapsed="false">
      <c r="A21" s="5" t="s">
        <v>144</v>
      </c>
      <c r="B21" s="5" t="s">
        <v>149</v>
      </c>
      <c r="C21" s="5" t="s">
        <v>125</v>
      </c>
      <c r="D21" s="5" t="s">
        <v>144</v>
      </c>
      <c r="E21" s="5" t="s">
        <v>150</v>
      </c>
      <c r="F21" s="5" t="s">
        <v>151</v>
      </c>
      <c r="G21" s="5" t="s">
        <v>86</v>
      </c>
      <c r="H21" s="5"/>
    </row>
    <row r="22" customFormat="false" ht="15" hidden="false" customHeight="false" outlineLevel="0" collapsed="false">
      <c r="A22" s="5" t="s">
        <v>144</v>
      </c>
      <c r="B22" s="5" t="s">
        <v>152</v>
      </c>
      <c r="C22" s="5" t="s">
        <v>125</v>
      </c>
      <c r="D22" s="5" t="s">
        <v>144</v>
      </c>
      <c r="E22" s="5" t="s">
        <v>153</v>
      </c>
      <c r="F22" s="5" t="s">
        <v>154</v>
      </c>
      <c r="G22" s="5" t="s">
        <v>86</v>
      </c>
      <c r="H22" s="5" t="s">
        <v>155</v>
      </c>
    </row>
    <row r="23" customFormat="false" ht="15" hidden="false" customHeight="false" outlineLevel="0" collapsed="false">
      <c r="A23" s="5" t="s">
        <v>144</v>
      </c>
      <c r="B23" s="5" t="s">
        <v>156</v>
      </c>
      <c r="C23" s="5" t="s">
        <v>125</v>
      </c>
      <c r="D23" s="5" t="s">
        <v>144</v>
      </c>
      <c r="E23" s="5" t="s">
        <v>157</v>
      </c>
      <c r="F23" s="5" t="s">
        <v>158</v>
      </c>
      <c r="G23" s="5" t="s">
        <v>86</v>
      </c>
      <c r="H23" s="5"/>
    </row>
    <row r="24" customFormat="false" ht="23.85" hidden="false" customHeight="false" outlineLevel="0" collapsed="false">
      <c r="A24" s="5" t="s">
        <v>144</v>
      </c>
      <c r="B24" s="5" t="s">
        <v>159</v>
      </c>
      <c r="C24" s="5" t="s">
        <v>125</v>
      </c>
      <c r="D24" s="5" t="s">
        <v>144</v>
      </c>
      <c r="E24" s="5" t="s">
        <v>160</v>
      </c>
      <c r="F24" s="5" t="s">
        <v>161</v>
      </c>
      <c r="G24" s="5" t="s">
        <v>86</v>
      </c>
      <c r="H24" s="5"/>
    </row>
    <row r="25" customFormat="false" ht="23.85" hidden="false" customHeight="false" outlineLevel="0" collapsed="false">
      <c r="A25" s="5" t="s">
        <v>144</v>
      </c>
      <c r="B25" s="5" t="s">
        <v>162</v>
      </c>
      <c r="C25" s="5" t="s">
        <v>163</v>
      </c>
      <c r="D25" s="5" t="s">
        <v>144</v>
      </c>
      <c r="E25" s="5" t="s">
        <v>164</v>
      </c>
      <c r="F25" s="5" t="s">
        <v>165</v>
      </c>
      <c r="G25" s="5" t="s">
        <v>166</v>
      </c>
      <c r="H25" s="5"/>
    </row>
    <row r="26" customFormat="false" ht="23.85" hidden="false" customHeight="false" outlineLevel="0" collapsed="false">
      <c r="A26" s="5" t="s">
        <v>167</v>
      </c>
      <c r="B26" s="5" t="s">
        <v>168</v>
      </c>
      <c r="C26" s="5" t="s">
        <v>169</v>
      </c>
      <c r="D26" s="5" t="s">
        <v>170</v>
      </c>
      <c r="E26" s="5" t="s">
        <v>169</v>
      </c>
      <c r="F26" s="5" t="s">
        <v>171</v>
      </c>
      <c r="G26" s="5" t="s">
        <v>169</v>
      </c>
      <c r="H26" s="5" t="s">
        <v>172</v>
      </c>
    </row>
    <row r="27" customFormat="false" ht="23.85" hidden="false" customHeight="false" outlineLevel="0" collapsed="false">
      <c r="A27" s="5" t="s">
        <v>173</v>
      </c>
      <c r="B27" s="5" t="s">
        <v>174</v>
      </c>
      <c r="C27" s="5" t="s">
        <v>175</v>
      </c>
      <c r="D27" s="5" t="s">
        <v>176</v>
      </c>
      <c r="E27" s="5" t="s">
        <v>169</v>
      </c>
      <c r="F27" s="5" t="s">
        <v>177</v>
      </c>
      <c r="G27" s="5" t="s">
        <v>86</v>
      </c>
      <c r="H27" s="5" t="s">
        <v>178</v>
      </c>
    </row>
  </sheetData>
  <autoFilter ref="A1:H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3" min="3" style="0" width="9"/>
    <col collapsed="false" customWidth="true" hidden="false" outlineLevel="0" max="4" min="4" style="0" width="20"/>
    <col collapsed="false" customWidth="true" hidden="false" outlineLevel="0" max="5" min="5" style="0" width="6"/>
    <col collapsed="false" customWidth="true" hidden="false" outlineLevel="0" max="6" min="6" style="0" width="20"/>
    <col collapsed="false" customWidth="true" hidden="false" outlineLevel="0" max="7" min="7" style="0" width="34"/>
    <col collapsed="false" customWidth="true" hidden="false" outlineLevel="0" max="8" min="8" style="0" width="40"/>
    <col collapsed="false" customWidth="true" hidden="false" outlineLevel="0" max="9" min="9" style="0" width="30"/>
    <col collapsed="false" customWidth="true" hidden="false" outlineLevel="0" max="10" min="10" style="0" width="10"/>
    <col collapsed="false" customWidth="true" hidden="false" outlineLevel="0" max="11" min="11" style="0" width="14"/>
    <col collapsed="false" customWidth="true" hidden="false" outlineLevel="0" max="12" min="12" style="0" width="9"/>
    <col collapsed="false" customWidth="true" hidden="false" outlineLevel="0" max="13" min="13" style="0" width="22"/>
    <col collapsed="false" customWidth="true" hidden="false" outlineLevel="0" max="14" min="14" style="0" width="10"/>
    <col collapsed="false" customWidth="true" hidden="false" outlineLevel="0" max="16" min="15" style="0" width="7"/>
    <col collapsed="false" customWidth="true" hidden="false" outlineLevel="0" max="17" min="17" style="0" width="16"/>
    <col collapsed="false" customWidth="true" hidden="false" outlineLevel="0" max="18" min="18" style="0" width="22"/>
    <col collapsed="false" customWidth="true" hidden="false" outlineLevel="0" max="19" min="19" style="0" width="8"/>
    <col collapsed="false" customWidth="true" hidden="false" outlineLevel="0" max="20" min="20" style="0" width="36"/>
    <col collapsed="false" customWidth="true" hidden="false" outlineLevel="0" max="21" min="21" style="0" width="18"/>
    <col collapsed="false" customWidth="true" hidden="false" outlineLevel="0" max="22" min="22" style="0" width="11"/>
    <col collapsed="false" customWidth="true" hidden="false" outlineLevel="0" max="23" min="23" style="0" width="55"/>
    <col collapsed="false" customWidth="true" hidden="false" outlineLevel="0" max="24" min="24" style="0" width="8"/>
  </cols>
  <sheetData>
    <row r="1" customFormat="false" ht="30" hidden="false" customHeight="true" outlineLevel="0" collapsed="false">
      <c r="A1" s="4" t="s">
        <v>179</v>
      </c>
      <c r="B1" s="4" t="s">
        <v>180</v>
      </c>
      <c r="C1" s="4" t="s">
        <v>181</v>
      </c>
      <c r="D1" s="4" t="s">
        <v>182</v>
      </c>
      <c r="E1" s="4" t="s">
        <v>183</v>
      </c>
      <c r="F1" s="4" t="s">
        <v>184</v>
      </c>
      <c r="G1" s="4" t="s">
        <v>185</v>
      </c>
      <c r="H1" s="4" t="s">
        <v>186</v>
      </c>
      <c r="I1" s="4" t="s">
        <v>187</v>
      </c>
      <c r="J1" s="4" t="s">
        <v>188</v>
      </c>
      <c r="K1" s="4" t="s">
        <v>189</v>
      </c>
      <c r="L1" s="4" t="s">
        <v>130</v>
      </c>
      <c r="M1" s="4" t="s">
        <v>190</v>
      </c>
      <c r="N1" s="4" t="s">
        <v>191</v>
      </c>
      <c r="O1" s="4" t="s">
        <v>192</v>
      </c>
      <c r="P1" s="4" t="s">
        <v>193</v>
      </c>
      <c r="Q1" s="4" t="s">
        <v>194</v>
      </c>
      <c r="R1" s="4" t="s">
        <v>195</v>
      </c>
      <c r="S1" s="4" t="s">
        <v>196</v>
      </c>
      <c r="T1" s="4" t="s">
        <v>197</v>
      </c>
      <c r="U1" s="4" t="s">
        <v>198</v>
      </c>
      <c r="V1" s="4" t="s">
        <v>1</v>
      </c>
      <c r="W1" s="4" t="s">
        <v>199</v>
      </c>
      <c r="X1" s="4" t="s">
        <v>200</v>
      </c>
    </row>
    <row r="2" customFormat="false" ht="35.05" hidden="false" customHeight="false" outlineLevel="0" collapsed="false">
      <c r="A2" s="5" t="s">
        <v>201</v>
      </c>
      <c r="B2" s="5" t="s">
        <v>169</v>
      </c>
      <c r="C2" s="5" t="s">
        <v>202</v>
      </c>
      <c r="D2" s="5" t="s">
        <v>203</v>
      </c>
      <c r="E2" s="5" t="n">
        <v>1</v>
      </c>
      <c r="F2" s="5" t="s">
        <v>204</v>
      </c>
      <c r="G2" s="5" t="s">
        <v>204</v>
      </c>
      <c r="H2" s="5" t="s">
        <v>205</v>
      </c>
      <c r="I2" s="5"/>
      <c r="J2" s="5" t="s">
        <v>206</v>
      </c>
      <c r="K2" s="5" t="s">
        <v>204</v>
      </c>
      <c r="L2" s="5" t="s">
        <v>207</v>
      </c>
      <c r="M2" s="5" t="s">
        <v>208</v>
      </c>
      <c r="N2" s="5" t="s">
        <v>209</v>
      </c>
      <c r="O2" s="5" t="s">
        <v>207</v>
      </c>
      <c r="P2" s="5" t="s">
        <v>210</v>
      </c>
      <c r="Q2" s="5"/>
      <c r="R2" s="5"/>
      <c r="S2" s="5"/>
      <c r="T2" s="5" t="s">
        <v>211</v>
      </c>
      <c r="U2" s="5"/>
      <c r="V2" s="5" t="s">
        <v>212</v>
      </c>
      <c r="W2" s="5" t="s">
        <v>213</v>
      </c>
      <c r="X2" s="5" t="s">
        <v>210</v>
      </c>
    </row>
    <row r="3" customFormat="false" ht="46.25" hidden="false" customHeight="false" outlineLevel="0" collapsed="false">
      <c r="A3" s="5" t="s">
        <v>201</v>
      </c>
      <c r="B3" s="5" t="s">
        <v>169</v>
      </c>
      <c r="C3" s="5" t="s">
        <v>202</v>
      </c>
      <c r="D3" s="5" t="s">
        <v>203</v>
      </c>
      <c r="E3" s="5" t="n">
        <v>2</v>
      </c>
      <c r="F3" s="5" t="s">
        <v>214</v>
      </c>
      <c r="G3" s="5" t="s">
        <v>215</v>
      </c>
      <c r="H3" s="5" t="s">
        <v>205</v>
      </c>
      <c r="I3" s="5"/>
      <c r="J3" s="5" t="s">
        <v>206</v>
      </c>
      <c r="K3" s="5" t="s">
        <v>214</v>
      </c>
      <c r="L3" s="5" t="s">
        <v>207</v>
      </c>
      <c r="M3" s="5" t="s">
        <v>216</v>
      </c>
      <c r="N3" s="5" t="s">
        <v>209</v>
      </c>
      <c r="O3" s="5" t="s">
        <v>207</v>
      </c>
      <c r="P3" s="5" t="s">
        <v>210</v>
      </c>
      <c r="Q3" s="5"/>
      <c r="R3" s="5"/>
      <c r="S3" s="5"/>
      <c r="T3" s="5"/>
      <c r="U3" s="5"/>
      <c r="V3" s="5" t="s">
        <v>212</v>
      </c>
      <c r="W3" s="5" t="s">
        <v>217</v>
      </c>
      <c r="X3" s="5" t="s">
        <v>210</v>
      </c>
    </row>
    <row r="4" customFormat="false" ht="23.85" hidden="false" customHeight="false" outlineLevel="0" collapsed="false">
      <c r="A4" s="5" t="s">
        <v>218</v>
      </c>
      <c r="B4" s="5" t="s">
        <v>219</v>
      </c>
      <c r="C4" s="5" t="s">
        <v>220</v>
      </c>
      <c r="D4" s="5"/>
      <c r="E4" s="5" t="n">
        <v>1</v>
      </c>
      <c r="F4" s="5" t="s">
        <v>221</v>
      </c>
      <c r="G4" s="5" t="s">
        <v>222</v>
      </c>
      <c r="H4" s="5" t="s">
        <v>223</v>
      </c>
      <c r="I4" s="5"/>
      <c r="J4" s="5" t="s">
        <v>224</v>
      </c>
      <c r="K4" s="5" t="s">
        <v>225</v>
      </c>
      <c r="L4" s="5" t="s">
        <v>210</v>
      </c>
      <c r="M4" s="5" t="s">
        <v>207</v>
      </c>
      <c r="N4" s="5" t="s">
        <v>226</v>
      </c>
      <c r="O4" s="5" t="s">
        <v>207</v>
      </c>
      <c r="P4" s="5" t="s">
        <v>210</v>
      </c>
      <c r="Q4" s="5"/>
      <c r="R4" s="5"/>
      <c r="S4" s="5"/>
      <c r="T4" s="5" t="s">
        <v>227</v>
      </c>
      <c r="U4" s="5"/>
      <c r="V4" s="5" t="s">
        <v>228</v>
      </c>
      <c r="W4" s="5" t="s">
        <v>229</v>
      </c>
      <c r="X4" s="5" t="s">
        <v>210</v>
      </c>
    </row>
    <row r="5" customFormat="false" ht="46.25" hidden="false" customHeight="false" outlineLevel="0" collapsed="false">
      <c r="A5" s="5" t="s">
        <v>218</v>
      </c>
      <c r="B5" s="5" t="s">
        <v>230</v>
      </c>
      <c r="C5" s="5" t="s">
        <v>220</v>
      </c>
      <c r="D5" s="5"/>
      <c r="E5" s="5" t="n">
        <v>2</v>
      </c>
      <c r="F5" s="5" t="s">
        <v>231</v>
      </c>
      <c r="G5" s="5" t="s">
        <v>232</v>
      </c>
      <c r="H5" s="5" t="s">
        <v>233</v>
      </c>
      <c r="I5" s="5"/>
      <c r="J5" s="5" t="s">
        <v>224</v>
      </c>
      <c r="K5" s="5" t="s">
        <v>234</v>
      </c>
      <c r="L5" s="5" t="s">
        <v>210</v>
      </c>
      <c r="M5" s="5"/>
      <c r="N5" s="5" t="s">
        <v>235</v>
      </c>
      <c r="O5" s="5" t="s">
        <v>207</v>
      </c>
      <c r="P5" s="5" t="s">
        <v>210</v>
      </c>
      <c r="Q5" s="5"/>
      <c r="R5" s="5"/>
      <c r="S5" s="5"/>
      <c r="T5" s="5" t="s">
        <v>236</v>
      </c>
      <c r="U5" s="5" t="s">
        <v>237</v>
      </c>
      <c r="V5" s="5" t="s">
        <v>238</v>
      </c>
      <c r="W5" s="5" t="s">
        <v>239</v>
      </c>
      <c r="X5" s="5" t="s">
        <v>210</v>
      </c>
    </row>
    <row r="6" customFormat="false" ht="35.05" hidden="false" customHeight="false" outlineLevel="0" collapsed="false">
      <c r="A6" s="5" t="s">
        <v>218</v>
      </c>
      <c r="B6" s="5" t="s">
        <v>240</v>
      </c>
      <c r="C6" s="5" t="s">
        <v>220</v>
      </c>
      <c r="D6" s="5"/>
      <c r="E6" s="5" t="n">
        <v>3</v>
      </c>
      <c r="F6" s="5" t="s">
        <v>241</v>
      </c>
      <c r="G6" s="5" t="s">
        <v>242</v>
      </c>
      <c r="H6" s="5" t="s">
        <v>243</v>
      </c>
      <c r="I6" s="5"/>
      <c r="J6" s="5" t="s">
        <v>244</v>
      </c>
      <c r="K6" s="5"/>
      <c r="L6" s="5" t="s">
        <v>245</v>
      </c>
      <c r="M6" s="5"/>
      <c r="N6" s="5" t="s">
        <v>235</v>
      </c>
      <c r="O6" s="5" t="s">
        <v>207</v>
      </c>
      <c r="P6" s="5" t="s">
        <v>210</v>
      </c>
      <c r="Q6" s="5" t="s">
        <v>246</v>
      </c>
      <c r="R6" s="5" t="s">
        <v>247</v>
      </c>
      <c r="S6" s="5"/>
      <c r="T6" s="5" t="s">
        <v>248</v>
      </c>
      <c r="U6" s="5" t="s">
        <v>249</v>
      </c>
      <c r="V6" s="5" t="s">
        <v>238</v>
      </c>
      <c r="W6" s="5" t="s">
        <v>250</v>
      </c>
      <c r="X6" s="5" t="s">
        <v>210</v>
      </c>
    </row>
    <row r="7" customFormat="false" ht="23.85" hidden="false" customHeight="false" outlineLevel="0" collapsed="false">
      <c r="A7" s="5" t="s">
        <v>218</v>
      </c>
      <c r="B7" s="5" t="s">
        <v>251</v>
      </c>
      <c r="C7" s="5" t="s">
        <v>220</v>
      </c>
      <c r="D7" s="5"/>
      <c r="E7" s="5" t="n">
        <v>4</v>
      </c>
      <c r="F7" s="5" t="s">
        <v>252</v>
      </c>
      <c r="G7" s="5" t="s">
        <v>253</v>
      </c>
      <c r="H7" s="5" t="s">
        <v>254</v>
      </c>
      <c r="I7" s="5"/>
      <c r="J7" s="5" t="s">
        <v>244</v>
      </c>
      <c r="K7" s="5"/>
      <c r="L7" s="5" t="s">
        <v>245</v>
      </c>
      <c r="M7" s="5"/>
      <c r="N7" s="5" t="s">
        <v>235</v>
      </c>
      <c r="O7" s="5" t="s">
        <v>207</v>
      </c>
      <c r="P7" s="5" t="s">
        <v>210</v>
      </c>
      <c r="Q7" s="5" t="s">
        <v>255</v>
      </c>
      <c r="R7" s="5" t="s">
        <v>256</v>
      </c>
      <c r="S7" s="5"/>
      <c r="T7" s="5" t="s">
        <v>257</v>
      </c>
      <c r="U7" s="5" t="s">
        <v>258</v>
      </c>
      <c r="V7" s="5" t="s">
        <v>238</v>
      </c>
      <c r="W7" s="5" t="s">
        <v>259</v>
      </c>
      <c r="X7" s="5" t="s">
        <v>210</v>
      </c>
    </row>
    <row r="8" customFormat="false" ht="57.45" hidden="false" customHeight="false" outlineLevel="0" collapsed="false">
      <c r="A8" s="5" t="s">
        <v>218</v>
      </c>
      <c r="B8" s="5" t="s">
        <v>260</v>
      </c>
      <c r="C8" s="5" t="s">
        <v>220</v>
      </c>
      <c r="D8" s="5"/>
      <c r="E8" s="5" t="n">
        <v>5</v>
      </c>
      <c r="F8" s="5" t="s">
        <v>261</v>
      </c>
      <c r="G8" s="5" t="s">
        <v>262</v>
      </c>
      <c r="H8" s="5" t="s">
        <v>263</v>
      </c>
      <c r="I8" s="5" t="s">
        <v>264</v>
      </c>
      <c r="J8" s="5" t="s">
        <v>265</v>
      </c>
      <c r="K8" s="5" t="s">
        <v>266</v>
      </c>
      <c r="L8" s="5" t="s">
        <v>210</v>
      </c>
      <c r="M8" s="5" t="s">
        <v>267</v>
      </c>
      <c r="N8" s="5" t="s">
        <v>226</v>
      </c>
      <c r="O8" s="5" t="s">
        <v>207</v>
      </c>
      <c r="P8" s="5" t="s">
        <v>210</v>
      </c>
      <c r="Q8" s="5"/>
      <c r="R8" s="5"/>
      <c r="S8" s="5"/>
      <c r="T8" s="5" t="s">
        <v>268</v>
      </c>
      <c r="U8" s="5"/>
      <c r="V8" s="5" t="s">
        <v>238</v>
      </c>
      <c r="W8" s="5" t="s">
        <v>269</v>
      </c>
      <c r="X8" s="5" t="s">
        <v>210</v>
      </c>
    </row>
    <row r="9" customFormat="false" ht="35.05" hidden="false" customHeight="false" outlineLevel="0" collapsed="false">
      <c r="A9" s="5" t="s">
        <v>218</v>
      </c>
      <c r="B9" s="5" t="s">
        <v>270</v>
      </c>
      <c r="C9" s="5" t="s">
        <v>220</v>
      </c>
      <c r="D9" s="5"/>
      <c r="E9" s="5" t="n">
        <v>6</v>
      </c>
      <c r="F9" s="5" t="s">
        <v>271</v>
      </c>
      <c r="G9" s="5" t="s">
        <v>272</v>
      </c>
      <c r="H9" s="5" t="s">
        <v>273</v>
      </c>
      <c r="I9" s="5"/>
      <c r="J9" s="5" t="s">
        <v>244</v>
      </c>
      <c r="K9" s="5"/>
      <c r="L9" s="5" t="s">
        <v>245</v>
      </c>
      <c r="M9" s="5"/>
      <c r="N9" s="5" t="s">
        <v>235</v>
      </c>
      <c r="O9" s="5" t="s">
        <v>207</v>
      </c>
      <c r="P9" s="5" t="s">
        <v>210</v>
      </c>
      <c r="Q9" s="5" t="s">
        <v>274</v>
      </c>
      <c r="R9" s="5" t="s">
        <v>275</v>
      </c>
      <c r="S9" s="5"/>
      <c r="T9" s="5" t="s">
        <v>276</v>
      </c>
      <c r="U9" s="5"/>
      <c r="V9" s="5" t="s">
        <v>277</v>
      </c>
      <c r="W9" s="5" t="s">
        <v>278</v>
      </c>
      <c r="X9" s="5" t="s">
        <v>210</v>
      </c>
    </row>
    <row r="10" customFormat="false" ht="57.45" hidden="false" customHeight="false" outlineLevel="0" collapsed="false">
      <c r="A10" s="5" t="s">
        <v>218</v>
      </c>
      <c r="B10" s="5" t="s">
        <v>279</v>
      </c>
      <c r="C10" s="5" t="s">
        <v>220</v>
      </c>
      <c r="D10" s="5"/>
      <c r="E10" s="5" t="n">
        <v>7</v>
      </c>
      <c r="F10" s="5" t="s">
        <v>280</v>
      </c>
      <c r="G10" s="5" t="s">
        <v>281</v>
      </c>
      <c r="H10" s="5" t="s">
        <v>282</v>
      </c>
      <c r="I10" s="5"/>
      <c r="J10" s="5" t="s">
        <v>283</v>
      </c>
      <c r="K10" s="5"/>
      <c r="L10" s="5" t="s">
        <v>210</v>
      </c>
      <c r="M10" s="5"/>
      <c r="N10" s="5" t="s">
        <v>235</v>
      </c>
      <c r="O10" s="5" t="s">
        <v>207</v>
      </c>
      <c r="P10" s="5" t="s">
        <v>210</v>
      </c>
      <c r="Q10" s="5"/>
      <c r="R10" s="5"/>
      <c r="S10" s="5"/>
      <c r="T10" s="5" t="s">
        <v>284</v>
      </c>
      <c r="U10" s="5"/>
      <c r="V10" s="5" t="s">
        <v>238</v>
      </c>
      <c r="W10" s="5" t="s">
        <v>285</v>
      </c>
      <c r="X10" s="5" t="s">
        <v>210</v>
      </c>
    </row>
    <row r="11" customFormat="false" ht="57.45" hidden="false" customHeight="false" outlineLevel="0" collapsed="false">
      <c r="A11" s="5" t="s">
        <v>218</v>
      </c>
      <c r="B11" s="5" t="s">
        <v>279</v>
      </c>
      <c r="C11" s="5" t="s">
        <v>220</v>
      </c>
      <c r="D11" s="5"/>
      <c r="E11" s="5" t="n">
        <v>8</v>
      </c>
      <c r="F11" s="5" t="s">
        <v>286</v>
      </c>
      <c r="G11" s="5" t="s">
        <v>287</v>
      </c>
      <c r="H11" s="5" t="s">
        <v>288</v>
      </c>
      <c r="I11" s="5" t="s">
        <v>289</v>
      </c>
      <c r="J11" s="5" t="s">
        <v>290</v>
      </c>
      <c r="K11" s="5"/>
      <c r="L11" s="5" t="s">
        <v>210</v>
      </c>
      <c r="M11" s="5"/>
      <c r="N11" s="5" t="s">
        <v>235</v>
      </c>
      <c r="O11" s="5" t="s">
        <v>207</v>
      </c>
      <c r="P11" s="5" t="s">
        <v>210</v>
      </c>
      <c r="Q11" s="5"/>
      <c r="R11" s="5"/>
      <c r="S11" s="5"/>
      <c r="T11" s="5" t="s">
        <v>291</v>
      </c>
      <c r="U11" s="5"/>
      <c r="V11" s="5" t="s">
        <v>212</v>
      </c>
      <c r="W11" s="5" t="s">
        <v>292</v>
      </c>
      <c r="X11" s="5" t="s">
        <v>210</v>
      </c>
    </row>
    <row r="12" customFormat="false" ht="35.05" hidden="false" customHeight="false" outlineLevel="0" collapsed="false">
      <c r="A12" s="5" t="s">
        <v>218</v>
      </c>
      <c r="B12" s="5" t="s">
        <v>293</v>
      </c>
      <c r="C12" s="5" t="s">
        <v>220</v>
      </c>
      <c r="D12" s="5"/>
      <c r="E12" s="5" t="n">
        <v>9</v>
      </c>
      <c r="F12" s="5" t="s">
        <v>294</v>
      </c>
      <c r="G12" s="5" t="s">
        <v>295</v>
      </c>
      <c r="H12" s="5" t="s">
        <v>296</v>
      </c>
      <c r="I12" s="5"/>
      <c r="J12" s="5" t="s">
        <v>224</v>
      </c>
      <c r="K12" s="5" t="s">
        <v>297</v>
      </c>
      <c r="L12" s="5" t="s">
        <v>245</v>
      </c>
      <c r="M12" s="5"/>
      <c r="N12" s="5" t="s">
        <v>235</v>
      </c>
      <c r="O12" s="5" t="s">
        <v>207</v>
      </c>
      <c r="P12" s="5" t="s">
        <v>210</v>
      </c>
      <c r="Q12" s="5"/>
      <c r="R12" s="5"/>
      <c r="S12" s="5"/>
      <c r="T12" s="5" t="s">
        <v>298</v>
      </c>
      <c r="U12" s="5"/>
      <c r="V12" s="5" t="s">
        <v>277</v>
      </c>
      <c r="W12" s="5" t="s">
        <v>299</v>
      </c>
      <c r="X12" s="5" t="s">
        <v>210</v>
      </c>
    </row>
    <row r="13" customFormat="false" ht="35.05" hidden="false" customHeight="false" outlineLevel="0" collapsed="false">
      <c r="A13" s="5" t="s">
        <v>218</v>
      </c>
      <c r="B13" s="5" t="s">
        <v>300</v>
      </c>
      <c r="C13" s="5" t="s">
        <v>220</v>
      </c>
      <c r="D13" s="5"/>
      <c r="E13" s="5" t="n">
        <v>10</v>
      </c>
      <c r="F13" s="5" t="s">
        <v>301</v>
      </c>
      <c r="G13" s="5" t="s">
        <v>302</v>
      </c>
      <c r="H13" s="5" t="s">
        <v>303</v>
      </c>
      <c r="I13" s="5"/>
      <c r="J13" s="5" t="s">
        <v>290</v>
      </c>
      <c r="K13" s="5"/>
      <c r="L13" s="5" t="s">
        <v>245</v>
      </c>
      <c r="M13" s="5"/>
      <c r="N13" s="5" t="s">
        <v>235</v>
      </c>
      <c r="O13" s="5" t="s">
        <v>207</v>
      </c>
      <c r="P13" s="5" t="s">
        <v>210</v>
      </c>
      <c r="Q13" s="5"/>
      <c r="R13" s="5"/>
      <c r="S13" s="5"/>
      <c r="T13" s="5" t="s">
        <v>304</v>
      </c>
      <c r="U13" s="5"/>
      <c r="V13" s="5" t="s">
        <v>212</v>
      </c>
      <c r="W13" s="5" t="s">
        <v>305</v>
      </c>
      <c r="X13" s="5" t="s">
        <v>210</v>
      </c>
    </row>
    <row r="14" customFormat="false" ht="35.05" hidden="false" customHeight="false" outlineLevel="0" collapsed="false">
      <c r="A14" s="5" t="s">
        <v>218</v>
      </c>
      <c r="B14" s="5" t="s">
        <v>306</v>
      </c>
      <c r="C14" s="5" t="s">
        <v>220</v>
      </c>
      <c r="D14" s="5"/>
      <c r="E14" s="5" t="n">
        <v>11</v>
      </c>
      <c r="F14" s="5" t="s">
        <v>307</v>
      </c>
      <c r="G14" s="5" t="s">
        <v>308</v>
      </c>
      <c r="H14" s="5" t="s">
        <v>309</v>
      </c>
      <c r="I14" s="5"/>
      <c r="J14" s="5" t="s">
        <v>244</v>
      </c>
      <c r="K14" s="5"/>
      <c r="L14" s="5" t="s">
        <v>245</v>
      </c>
      <c r="M14" s="5"/>
      <c r="N14" s="5" t="s">
        <v>235</v>
      </c>
      <c r="O14" s="5" t="s">
        <v>207</v>
      </c>
      <c r="P14" s="5" t="s">
        <v>210</v>
      </c>
      <c r="Q14" s="5" t="s">
        <v>310</v>
      </c>
      <c r="R14" s="5" t="s">
        <v>311</v>
      </c>
      <c r="S14" s="5"/>
      <c r="T14" s="5" t="s">
        <v>312</v>
      </c>
      <c r="U14" s="5"/>
      <c r="V14" s="5" t="s">
        <v>277</v>
      </c>
      <c r="W14" s="5" t="s">
        <v>313</v>
      </c>
      <c r="X14" s="5" t="s">
        <v>210</v>
      </c>
    </row>
    <row r="15" customFormat="false" ht="46.25" hidden="false" customHeight="false" outlineLevel="0" collapsed="false">
      <c r="A15" s="5" t="s">
        <v>218</v>
      </c>
      <c r="B15" s="5" t="s">
        <v>306</v>
      </c>
      <c r="C15" s="5" t="s">
        <v>220</v>
      </c>
      <c r="D15" s="5"/>
      <c r="E15" s="5" t="n">
        <v>12</v>
      </c>
      <c r="F15" s="5" t="s">
        <v>314</v>
      </c>
      <c r="G15" s="5" t="s">
        <v>315</v>
      </c>
      <c r="H15" s="5" t="s">
        <v>316</v>
      </c>
      <c r="I15" s="5"/>
      <c r="J15" s="5" t="s">
        <v>290</v>
      </c>
      <c r="K15" s="5"/>
      <c r="L15" s="5" t="s">
        <v>245</v>
      </c>
      <c r="M15" s="5"/>
      <c r="N15" s="5" t="s">
        <v>235</v>
      </c>
      <c r="O15" s="5" t="s">
        <v>207</v>
      </c>
      <c r="P15" s="5" t="s">
        <v>210</v>
      </c>
      <c r="Q15" s="5"/>
      <c r="R15" s="5"/>
      <c r="S15" s="5"/>
      <c r="T15" s="5" t="s">
        <v>317</v>
      </c>
      <c r="U15" s="5"/>
      <c r="V15" s="5" t="s">
        <v>212</v>
      </c>
      <c r="W15" s="5" t="s">
        <v>318</v>
      </c>
      <c r="X15" s="5" t="s">
        <v>210</v>
      </c>
    </row>
    <row r="16" customFormat="false" ht="57.45" hidden="false" customHeight="false" outlineLevel="0" collapsed="false">
      <c r="A16" s="5" t="s">
        <v>218</v>
      </c>
      <c r="B16" s="5" t="s">
        <v>319</v>
      </c>
      <c r="C16" s="5" t="s">
        <v>220</v>
      </c>
      <c r="D16" s="5"/>
      <c r="E16" s="5" t="n">
        <v>13</v>
      </c>
      <c r="F16" s="5" t="s">
        <v>320</v>
      </c>
      <c r="G16" s="5" t="s">
        <v>321</v>
      </c>
      <c r="H16" s="5" t="s">
        <v>322</v>
      </c>
      <c r="I16" s="5"/>
      <c r="J16" s="5" t="s">
        <v>224</v>
      </c>
      <c r="K16" s="5" t="s">
        <v>225</v>
      </c>
      <c r="L16" s="5" t="s">
        <v>210</v>
      </c>
      <c r="M16" s="5" t="s">
        <v>207</v>
      </c>
      <c r="N16" s="5" t="s">
        <v>226</v>
      </c>
      <c r="O16" s="5" t="s">
        <v>207</v>
      </c>
      <c r="P16" s="5" t="s">
        <v>210</v>
      </c>
      <c r="Q16" s="5"/>
      <c r="R16" s="5"/>
      <c r="S16" s="5"/>
      <c r="T16" s="5" t="s">
        <v>323</v>
      </c>
      <c r="U16" s="5"/>
      <c r="V16" s="5" t="s">
        <v>238</v>
      </c>
      <c r="W16" s="5" t="s">
        <v>324</v>
      </c>
      <c r="X16" s="5" t="s">
        <v>210</v>
      </c>
    </row>
    <row r="17" customFormat="false" ht="68.65" hidden="false" customHeight="false" outlineLevel="0" collapsed="false">
      <c r="A17" s="5" t="s">
        <v>325</v>
      </c>
      <c r="B17" s="5" t="s">
        <v>326</v>
      </c>
      <c r="C17" s="5" t="s">
        <v>327</v>
      </c>
      <c r="D17" s="5"/>
      <c r="E17" s="5" t="n">
        <v>1</v>
      </c>
      <c r="F17" s="5" t="s">
        <v>328</v>
      </c>
      <c r="G17" s="5" t="s">
        <v>329</v>
      </c>
      <c r="H17" s="5" t="s">
        <v>330</v>
      </c>
      <c r="I17" s="5"/>
      <c r="J17" s="5" t="s">
        <v>224</v>
      </c>
      <c r="K17" s="5" t="s">
        <v>331</v>
      </c>
      <c r="L17" s="5" t="s">
        <v>210</v>
      </c>
      <c r="M17" s="5" t="s">
        <v>332</v>
      </c>
      <c r="N17" s="5" t="s">
        <v>226</v>
      </c>
      <c r="O17" s="5" t="s">
        <v>207</v>
      </c>
      <c r="P17" s="5" t="s">
        <v>210</v>
      </c>
      <c r="Q17" s="5"/>
      <c r="R17" s="5"/>
      <c r="S17" s="5"/>
      <c r="T17" s="5" t="s">
        <v>333</v>
      </c>
      <c r="U17" s="5"/>
      <c r="V17" s="5" t="s">
        <v>277</v>
      </c>
      <c r="W17" s="5" t="s">
        <v>334</v>
      </c>
      <c r="X17" s="5" t="s">
        <v>210</v>
      </c>
    </row>
    <row r="18" customFormat="false" ht="46.25" hidden="false" customHeight="false" outlineLevel="0" collapsed="false">
      <c r="A18" s="5" t="s">
        <v>325</v>
      </c>
      <c r="B18" s="5" t="s">
        <v>335</v>
      </c>
      <c r="C18" s="5" t="s">
        <v>327</v>
      </c>
      <c r="D18" s="5"/>
      <c r="E18" s="5" t="n">
        <v>2</v>
      </c>
      <c r="F18" s="5" t="s">
        <v>336</v>
      </c>
      <c r="G18" s="5" t="s">
        <v>337</v>
      </c>
      <c r="H18" s="5" t="s">
        <v>337</v>
      </c>
      <c r="I18" s="5"/>
      <c r="J18" s="5" t="s">
        <v>224</v>
      </c>
      <c r="K18" s="5" t="s">
        <v>338</v>
      </c>
      <c r="L18" s="5" t="s">
        <v>245</v>
      </c>
      <c r="M18" s="5"/>
      <c r="N18" s="5" t="s">
        <v>235</v>
      </c>
      <c r="O18" s="5" t="s">
        <v>207</v>
      </c>
      <c r="P18" s="5" t="s">
        <v>210</v>
      </c>
      <c r="Q18" s="5"/>
      <c r="R18" s="5"/>
      <c r="S18" s="5"/>
      <c r="T18" s="5" t="s">
        <v>339</v>
      </c>
      <c r="U18" s="5"/>
      <c r="V18" s="5" t="s">
        <v>277</v>
      </c>
      <c r="W18" s="5" t="s">
        <v>340</v>
      </c>
      <c r="X18" s="5" t="s">
        <v>210</v>
      </c>
    </row>
    <row r="19" customFormat="false" ht="46.25" hidden="false" customHeight="false" outlineLevel="0" collapsed="false">
      <c r="A19" s="5" t="s">
        <v>325</v>
      </c>
      <c r="B19" s="5" t="s">
        <v>341</v>
      </c>
      <c r="C19" s="5" t="s">
        <v>327</v>
      </c>
      <c r="D19" s="5"/>
      <c r="E19" s="5" t="n">
        <v>3</v>
      </c>
      <c r="F19" s="5" t="s">
        <v>342</v>
      </c>
      <c r="G19" s="5" t="s">
        <v>343</v>
      </c>
      <c r="H19" s="5" t="s">
        <v>344</v>
      </c>
      <c r="I19" s="5" t="s">
        <v>345</v>
      </c>
      <c r="J19" s="5" t="s">
        <v>346</v>
      </c>
      <c r="K19" s="5"/>
      <c r="L19" s="5" t="s">
        <v>245</v>
      </c>
      <c r="M19" s="5"/>
      <c r="N19" s="5" t="s">
        <v>235</v>
      </c>
      <c r="O19" s="5" t="s">
        <v>207</v>
      </c>
      <c r="P19" s="5" t="s">
        <v>210</v>
      </c>
      <c r="Q19" s="5"/>
      <c r="R19" s="5"/>
      <c r="S19" s="5"/>
      <c r="T19" s="5" t="s">
        <v>347</v>
      </c>
      <c r="U19" s="5"/>
      <c r="V19" s="5" t="s">
        <v>277</v>
      </c>
      <c r="W19" s="5" t="s">
        <v>348</v>
      </c>
      <c r="X19" s="5" t="s">
        <v>210</v>
      </c>
    </row>
    <row r="20" customFormat="false" ht="46.25" hidden="false" customHeight="false" outlineLevel="0" collapsed="false">
      <c r="A20" s="5" t="s">
        <v>349</v>
      </c>
      <c r="B20" s="5" t="s">
        <v>350</v>
      </c>
      <c r="C20" s="5" t="s">
        <v>351</v>
      </c>
      <c r="D20" s="5" t="s">
        <v>352</v>
      </c>
      <c r="E20" s="5" t="n">
        <v>1</v>
      </c>
      <c r="F20" s="5" t="s">
        <v>353</v>
      </c>
      <c r="G20" s="5" t="s">
        <v>354</v>
      </c>
      <c r="H20" s="5" t="s">
        <v>355</v>
      </c>
      <c r="I20" s="5"/>
      <c r="J20" s="5" t="s">
        <v>206</v>
      </c>
      <c r="K20" s="5" t="s">
        <v>356</v>
      </c>
      <c r="L20" s="5" t="s">
        <v>210</v>
      </c>
      <c r="M20" s="5"/>
      <c r="N20" s="5" t="s">
        <v>226</v>
      </c>
      <c r="O20" s="5" t="s">
        <v>207</v>
      </c>
      <c r="P20" s="5" t="s">
        <v>210</v>
      </c>
      <c r="Q20" s="5"/>
      <c r="R20" s="5"/>
      <c r="S20" s="5"/>
      <c r="T20" s="5" t="s">
        <v>357</v>
      </c>
      <c r="U20" s="5"/>
      <c r="V20" s="5" t="s">
        <v>238</v>
      </c>
      <c r="W20" s="5" t="s">
        <v>358</v>
      </c>
      <c r="X20" s="5" t="s">
        <v>210</v>
      </c>
    </row>
    <row r="21" customFormat="false" ht="23.85" hidden="false" customHeight="false" outlineLevel="0" collapsed="false">
      <c r="A21" s="5" t="s">
        <v>349</v>
      </c>
      <c r="B21" s="5" t="s">
        <v>359</v>
      </c>
      <c r="C21" s="5" t="s">
        <v>351</v>
      </c>
      <c r="D21" s="5" t="s">
        <v>352</v>
      </c>
      <c r="E21" s="5" t="n">
        <v>2</v>
      </c>
      <c r="F21" s="5" t="s">
        <v>360</v>
      </c>
      <c r="G21" s="5" t="s">
        <v>361</v>
      </c>
      <c r="H21" s="5" t="s">
        <v>362</v>
      </c>
      <c r="I21" s="5"/>
      <c r="J21" s="5" t="s">
        <v>244</v>
      </c>
      <c r="K21" s="5"/>
      <c r="L21" s="5" t="s">
        <v>210</v>
      </c>
      <c r="M21" s="5"/>
      <c r="N21" s="5" t="s">
        <v>235</v>
      </c>
      <c r="O21" s="5" t="s">
        <v>207</v>
      </c>
      <c r="P21" s="5" t="s">
        <v>210</v>
      </c>
      <c r="Q21" s="5"/>
      <c r="R21" s="5"/>
      <c r="S21" s="5"/>
      <c r="T21" s="5" t="s">
        <v>363</v>
      </c>
      <c r="U21" s="5" t="s">
        <v>364</v>
      </c>
      <c r="V21" s="5" t="s">
        <v>238</v>
      </c>
      <c r="W21" s="5" t="s">
        <v>365</v>
      </c>
      <c r="X21" s="5" t="s">
        <v>210</v>
      </c>
    </row>
    <row r="22" customFormat="false" ht="23.85" hidden="false" customHeight="false" outlineLevel="0" collapsed="false">
      <c r="A22" s="5" t="s">
        <v>349</v>
      </c>
      <c r="B22" s="5" t="s">
        <v>366</v>
      </c>
      <c r="C22" s="5" t="s">
        <v>351</v>
      </c>
      <c r="D22" s="5" t="s">
        <v>352</v>
      </c>
      <c r="E22" s="5" t="n">
        <v>3</v>
      </c>
      <c r="F22" s="5" t="s">
        <v>367</v>
      </c>
      <c r="G22" s="5" t="s">
        <v>368</v>
      </c>
      <c r="H22" s="5" t="s">
        <v>369</v>
      </c>
      <c r="I22" s="5"/>
      <c r="J22" s="5" t="s">
        <v>370</v>
      </c>
      <c r="K22" s="5"/>
      <c r="L22" s="5" t="s">
        <v>210</v>
      </c>
      <c r="M22" s="5"/>
      <c r="N22" s="5" t="s">
        <v>235</v>
      </c>
      <c r="O22" s="5" t="s">
        <v>207</v>
      </c>
      <c r="P22" s="5" t="s">
        <v>210</v>
      </c>
      <c r="Q22" s="5"/>
      <c r="R22" s="5"/>
      <c r="S22" s="5"/>
      <c r="T22" s="5" t="s">
        <v>371</v>
      </c>
      <c r="U22" s="5" t="s">
        <v>372</v>
      </c>
      <c r="V22" s="5" t="s">
        <v>228</v>
      </c>
      <c r="W22" s="5" t="s">
        <v>373</v>
      </c>
      <c r="X22" s="5" t="s">
        <v>210</v>
      </c>
    </row>
    <row r="23" customFormat="false" ht="23.85" hidden="false" customHeight="false" outlineLevel="0" collapsed="false">
      <c r="A23" s="5" t="s">
        <v>349</v>
      </c>
      <c r="B23" s="5" t="s">
        <v>366</v>
      </c>
      <c r="C23" s="5" t="s">
        <v>351</v>
      </c>
      <c r="D23" s="5" t="s">
        <v>352</v>
      </c>
      <c r="E23" s="5" t="n">
        <v>4</v>
      </c>
      <c r="F23" s="5" t="s">
        <v>374</v>
      </c>
      <c r="G23" s="5" t="s">
        <v>375</v>
      </c>
      <c r="H23" s="5" t="s">
        <v>376</v>
      </c>
      <c r="I23" s="5"/>
      <c r="J23" s="5" t="s">
        <v>377</v>
      </c>
      <c r="K23" s="5"/>
      <c r="L23" s="5" t="s">
        <v>210</v>
      </c>
      <c r="M23" s="5"/>
      <c r="N23" s="5" t="s">
        <v>235</v>
      </c>
      <c r="O23" s="5" t="s">
        <v>207</v>
      </c>
      <c r="P23" s="5" t="s">
        <v>210</v>
      </c>
      <c r="Q23" s="5"/>
      <c r="R23" s="5"/>
      <c r="S23" s="5"/>
      <c r="T23" s="5" t="s">
        <v>378</v>
      </c>
      <c r="U23" s="5" t="s">
        <v>379</v>
      </c>
      <c r="V23" s="5" t="s">
        <v>228</v>
      </c>
      <c r="W23" s="5"/>
      <c r="X23" s="5" t="s">
        <v>210</v>
      </c>
    </row>
    <row r="24" customFormat="false" ht="23.85" hidden="false" customHeight="false" outlineLevel="0" collapsed="false">
      <c r="A24" s="5" t="s">
        <v>349</v>
      </c>
      <c r="B24" s="5" t="s">
        <v>366</v>
      </c>
      <c r="C24" s="5" t="s">
        <v>351</v>
      </c>
      <c r="D24" s="5" t="s">
        <v>352</v>
      </c>
      <c r="E24" s="5" t="n">
        <v>5</v>
      </c>
      <c r="F24" s="5" t="s">
        <v>380</v>
      </c>
      <c r="G24" s="5" t="s">
        <v>381</v>
      </c>
      <c r="H24" s="5" t="s">
        <v>382</v>
      </c>
      <c r="I24" s="5"/>
      <c r="J24" s="5" t="s">
        <v>377</v>
      </c>
      <c r="K24" s="5"/>
      <c r="L24" s="5" t="s">
        <v>207</v>
      </c>
      <c r="M24" s="5"/>
      <c r="N24" s="5" t="s">
        <v>235</v>
      </c>
      <c r="O24" s="5" t="s">
        <v>207</v>
      </c>
      <c r="P24" s="5" t="s">
        <v>210</v>
      </c>
      <c r="Q24" s="5"/>
      <c r="R24" s="5"/>
      <c r="S24" s="5"/>
      <c r="T24" s="5" t="s">
        <v>378</v>
      </c>
      <c r="U24" s="5" t="s">
        <v>383</v>
      </c>
      <c r="V24" s="5" t="s">
        <v>228</v>
      </c>
      <c r="W24" s="5"/>
      <c r="X24" s="5" t="s">
        <v>210</v>
      </c>
    </row>
    <row r="25" customFormat="false" ht="23.85" hidden="false" customHeight="false" outlineLevel="0" collapsed="false">
      <c r="A25" s="5" t="s">
        <v>349</v>
      </c>
      <c r="B25" s="5" t="s">
        <v>366</v>
      </c>
      <c r="C25" s="5" t="s">
        <v>351</v>
      </c>
      <c r="D25" s="5" t="s">
        <v>352</v>
      </c>
      <c r="E25" s="5" t="n">
        <v>6</v>
      </c>
      <c r="F25" s="5" t="s">
        <v>384</v>
      </c>
      <c r="G25" s="5" t="s">
        <v>385</v>
      </c>
      <c r="H25" s="5" t="s">
        <v>386</v>
      </c>
      <c r="I25" s="5"/>
      <c r="J25" s="5" t="s">
        <v>244</v>
      </c>
      <c r="K25" s="5"/>
      <c r="L25" s="5" t="s">
        <v>210</v>
      </c>
      <c r="M25" s="5"/>
      <c r="N25" s="5" t="s">
        <v>235</v>
      </c>
      <c r="O25" s="5" t="s">
        <v>207</v>
      </c>
      <c r="P25" s="5" t="s">
        <v>210</v>
      </c>
      <c r="Q25" s="5"/>
      <c r="R25" s="5"/>
      <c r="S25" s="5"/>
      <c r="T25" s="5" t="s">
        <v>387</v>
      </c>
      <c r="U25" s="5" t="s">
        <v>388</v>
      </c>
      <c r="V25" s="5" t="s">
        <v>228</v>
      </c>
      <c r="W25" s="5"/>
      <c r="X25" s="5" t="s">
        <v>210</v>
      </c>
    </row>
    <row r="26" customFormat="false" ht="23.85" hidden="false" customHeight="false" outlineLevel="0" collapsed="false">
      <c r="A26" s="5" t="s">
        <v>349</v>
      </c>
      <c r="B26" s="5" t="s">
        <v>366</v>
      </c>
      <c r="C26" s="5" t="s">
        <v>351</v>
      </c>
      <c r="D26" s="5" t="s">
        <v>352</v>
      </c>
      <c r="E26" s="5" t="n">
        <v>7</v>
      </c>
      <c r="F26" s="5" t="s">
        <v>389</v>
      </c>
      <c r="G26" s="5" t="s">
        <v>390</v>
      </c>
      <c r="H26" s="5" t="s">
        <v>391</v>
      </c>
      <c r="I26" s="5"/>
      <c r="J26" s="5" t="s">
        <v>244</v>
      </c>
      <c r="K26" s="5"/>
      <c r="L26" s="5" t="s">
        <v>207</v>
      </c>
      <c r="M26" s="5"/>
      <c r="N26" s="5" t="s">
        <v>235</v>
      </c>
      <c r="O26" s="5" t="s">
        <v>207</v>
      </c>
      <c r="P26" s="5" t="s">
        <v>210</v>
      </c>
      <c r="Q26" s="5"/>
      <c r="R26" s="5"/>
      <c r="S26" s="5"/>
      <c r="T26" s="5" t="s">
        <v>387</v>
      </c>
      <c r="U26" s="5" t="s">
        <v>392</v>
      </c>
      <c r="V26" s="5" t="s">
        <v>228</v>
      </c>
      <c r="W26" s="5" t="s">
        <v>393</v>
      </c>
      <c r="X26" s="5" t="s">
        <v>210</v>
      </c>
    </row>
    <row r="27" customFormat="false" ht="23.85" hidden="false" customHeight="false" outlineLevel="0" collapsed="false">
      <c r="A27" s="5" t="s">
        <v>349</v>
      </c>
      <c r="B27" s="5" t="s">
        <v>366</v>
      </c>
      <c r="C27" s="5" t="s">
        <v>351</v>
      </c>
      <c r="D27" s="5" t="s">
        <v>352</v>
      </c>
      <c r="E27" s="5" t="n">
        <v>8</v>
      </c>
      <c r="F27" s="5" t="s">
        <v>394</v>
      </c>
      <c r="G27" s="5" t="s">
        <v>395</v>
      </c>
      <c r="H27" s="5" t="s">
        <v>396</v>
      </c>
      <c r="I27" s="5"/>
      <c r="J27" s="5" t="s">
        <v>244</v>
      </c>
      <c r="K27" s="5"/>
      <c r="L27" s="5" t="s">
        <v>210</v>
      </c>
      <c r="M27" s="5"/>
      <c r="N27" s="5" t="s">
        <v>235</v>
      </c>
      <c r="O27" s="5" t="s">
        <v>207</v>
      </c>
      <c r="P27" s="5" t="s">
        <v>210</v>
      </c>
      <c r="Q27" s="5"/>
      <c r="R27" s="5"/>
      <c r="S27" s="5"/>
      <c r="T27" s="5" t="s">
        <v>387</v>
      </c>
      <c r="U27" s="5" t="s">
        <v>397</v>
      </c>
      <c r="V27" s="5" t="s">
        <v>228</v>
      </c>
      <c r="W27" s="5"/>
      <c r="X27" s="5" t="s">
        <v>210</v>
      </c>
    </row>
    <row r="28" customFormat="false" ht="23.85" hidden="false" customHeight="false" outlineLevel="0" collapsed="false">
      <c r="A28" s="5" t="s">
        <v>349</v>
      </c>
      <c r="B28" s="5" t="s">
        <v>366</v>
      </c>
      <c r="C28" s="5" t="s">
        <v>351</v>
      </c>
      <c r="D28" s="5" t="s">
        <v>352</v>
      </c>
      <c r="E28" s="5" t="n">
        <v>9</v>
      </c>
      <c r="F28" s="5" t="s">
        <v>398</v>
      </c>
      <c r="G28" s="5" t="s">
        <v>399</v>
      </c>
      <c r="H28" s="5" t="s">
        <v>400</v>
      </c>
      <c r="I28" s="5"/>
      <c r="J28" s="5" t="s">
        <v>265</v>
      </c>
      <c r="K28" s="5" t="s">
        <v>401</v>
      </c>
      <c r="L28" s="5" t="s">
        <v>210</v>
      </c>
      <c r="M28" s="5" t="s">
        <v>402</v>
      </c>
      <c r="N28" s="5" t="s">
        <v>226</v>
      </c>
      <c r="O28" s="5" t="s">
        <v>207</v>
      </c>
      <c r="P28" s="5" t="s">
        <v>210</v>
      </c>
      <c r="Q28" s="5"/>
      <c r="R28" s="5"/>
      <c r="S28" s="5"/>
      <c r="T28" s="5" t="s">
        <v>403</v>
      </c>
      <c r="U28" s="5" t="s">
        <v>404</v>
      </c>
      <c r="V28" s="5" t="s">
        <v>238</v>
      </c>
      <c r="W28" s="5" t="s">
        <v>405</v>
      </c>
      <c r="X28" s="5" t="s">
        <v>210</v>
      </c>
    </row>
    <row r="29" customFormat="false" ht="23.85" hidden="false" customHeight="false" outlineLevel="0" collapsed="false">
      <c r="A29" s="5" t="s">
        <v>349</v>
      </c>
      <c r="B29" s="5" t="s">
        <v>366</v>
      </c>
      <c r="C29" s="5" t="s">
        <v>351</v>
      </c>
      <c r="D29" s="5" t="s">
        <v>352</v>
      </c>
      <c r="E29" s="5" t="n">
        <v>10</v>
      </c>
      <c r="F29" s="5" t="s">
        <v>406</v>
      </c>
      <c r="G29" s="5" t="s">
        <v>407</v>
      </c>
      <c r="H29" s="5" t="s">
        <v>408</v>
      </c>
      <c r="I29" s="5"/>
      <c r="J29" s="5" t="s">
        <v>409</v>
      </c>
      <c r="K29" s="5"/>
      <c r="L29" s="5" t="s">
        <v>210</v>
      </c>
      <c r="M29" s="5"/>
      <c r="N29" s="5" t="s">
        <v>235</v>
      </c>
      <c r="O29" s="5" t="s">
        <v>207</v>
      </c>
      <c r="P29" s="5" t="s">
        <v>210</v>
      </c>
      <c r="Q29" s="5"/>
      <c r="R29" s="5"/>
      <c r="S29" s="5"/>
      <c r="T29" s="5" t="s">
        <v>410</v>
      </c>
      <c r="U29" s="5" t="s">
        <v>411</v>
      </c>
      <c r="V29" s="5" t="s">
        <v>228</v>
      </c>
      <c r="W29" s="5"/>
      <c r="X29" s="5" t="s">
        <v>210</v>
      </c>
    </row>
    <row r="30" customFormat="false" ht="46.25" hidden="false" customHeight="false" outlineLevel="0" collapsed="false">
      <c r="A30" s="5" t="s">
        <v>349</v>
      </c>
      <c r="B30" s="5" t="s">
        <v>412</v>
      </c>
      <c r="C30" s="5" t="s">
        <v>351</v>
      </c>
      <c r="D30" s="5" t="s">
        <v>413</v>
      </c>
      <c r="E30" s="5" t="n">
        <v>1</v>
      </c>
      <c r="F30" s="5" t="s">
        <v>414</v>
      </c>
      <c r="G30" s="5" t="s">
        <v>415</v>
      </c>
      <c r="H30" s="5" t="s">
        <v>416</v>
      </c>
      <c r="I30" s="5"/>
      <c r="J30" s="5" t="s">
        <v>244</v>
      </c>
      <c r="K30" s="5"/>
      <c r="L30" s="5" t="s">
        <v>207</v>
      </c>
      <c r="M30" s="5"/>
      <c r="N30" s="5" t="s">
        <v>235</v>
      </c>
      <c r="O30" s="5" t="s">
        <v>207</v>
      </c>
      <c r="P30" s="5" t="s">
        <v>210</v>
      </c>
      <c r="Q30" s="5"/>
      <c r="R30" s="5"/>
      <c r="S30" s="5"/>
      <c r="T30" s="5" t="s">
        <v>417</v>
      </c>
      <c r="U30" s="5"/>
      <c r="V30" s="5" t="s">
        <v>238</v>
      </c>
      <c r="W30" s="5" t="s">
        <v>418</v>
      </c>
      <c r="X30" s="5" t="s">
        <v>210</v>
      </c>
    </row>
    <row r="31" customFormat="false" ht="23.85" hidden="false" customHeight="false" outlineLevel="0" collapsed="false">
      <c r="A31" s="5" t="s">
        <v>349</v>
      </c>
      <c r="B31" s="5" t="s">
        <v>412</v>
      </c>
      <c r="C31" s="5" t="s">
        <v>351</v>
      </c>
      <c r="D31" s="5" t="s">
        <v>413</v>
      </c>
      <c r="E31" s="5" t="n">
        <v>2</v>
      </c>
      <c r="F31" s="5" t="s">
        <v>419</v>
      </c>
      <c r="G31" s="5" t="s">
        <v>368</v>
      </c>
      <c r="H31" s="5" t="s">
        <v>420</v>
      </c>
      <c r="I31" s="5"/>
      <c r="J31" s="5" t="s">
        <v>370</v>
      </c>
      <c r="K31" s="5"/>
      <c r="L31" s="5" t="s">
        <v>245</v>
      </c>
      <c r="M31" s="5"/>
      <c r="N31" s="5" t="s">
        <v>235</v>
      </c>
      <c r="O31" s="5" t="s">
        <v>207</v>
      </c>
      <c r="P31" s="5" t="s">
        <v>210</v>
      </c>
      <c r="Q31" s="5"/>
      <c r="R31" s="5"/>
      <c r="S31" s="5"/>
      <c r="T31" s="5" t="s">
        <v>421</v>
      </c>
      <c r="U31" s="5"/>
      <c r="V31" s="5" t="s">
        <v>228</v>
      </c>
      <c r="W31" s="5" t="s">
        <v>422</v>
      </c>
      <c r="X31" s="5" t="s">
        <v>210</v>
      </c>
    </row>
    <row r="32" customFormat="false" ht="23.85" hidden="false" customHeight="false" outlineLevel="0" collapsed="false">
      <c r="A32" s="5" t="s">
        <v>349</v>
      </c>
      <c r="B32" s="5" t="s">
        <v>412</v>
      </c>
      <c r="C32" s="5" t="s">
        <v>351</v>
      </c>
      <c r="D32" s="5" t="s">
        <v>413</v>
      </c>
      <c r="E32" s="5" t="n">
        <v>3</v>
      </c>
      <c r="F32" s="5" t="s">
        <v>423</v>
      </c>
      <c r="G32" s="5" t="s">
        <v>375</v>
      </c>
      <c r="H32" s="5" t="s">
        <v>424</v>
      </c>
      <c r="I32" s="5"/>
      <c r="J32" s="5" t="s">
        <v>377</v>
      </c>
      <c r="K32" s="5"/>
      <c r="L32" s="5" t="s">
        <v>245</v>
      </c>
      <c r="M32" s="5"/>
      <c r="N32" s="5" t="s">
        <v>235</v>
      </c>
      <c r="O32" s="5" t="s">
        <v>207</v>
      </c>
      <c r="P32" s="5" t="s">
        <v>210</v>
      </c>
      <c r="Q32" s="5"/>
      <c r="R32" s="5"/>
      <c r="S32" s="5"/>
      <c r="T32" s="5" t="s">
        <v>425</v>
      </c>
      <c r="U32" s="5"/>
      <c r="V32" s="5" t="s">
        <v>228</v>
      </c>
      <c r="W32" s="5" t="s">
        <v>422</v>
      </c>
      <c r="X32" s="5" t="s">
        <v>210</v>
      </c>
    </row>
    <row r="33" customFormat="false" ht="23.85" hidden="false" customHeight="false" outlineLevel="0" collapsed="false">
      <c r="A33" s="5" t="s">
        <v>349</v>
      </c>
      <c r="B33" s="5" t="s">
        <v>412</v>
      </c>
      <c r="C33" s="5" t="s">
        <v>351</v>
      </c>
      <c r="D33" s="5" t="s">
        <v>413</v>
      </c>
      <c r="E33" s="5" t="n">
        <v>4</v>
      </c>
      <c r="F33" s="5" t="s">
        <v>426</v>
      </c>
      <c r="G33" s="5" t="s">
        <v>385</v>
      </c>
      <c r="H33" s="5" t="s">
        <v>427</v>
      </c>
      <c r="I33" s="5"/>
      <c r="J33" s="5" t="s">
        <v>244</v>
      </c>
      <c r="K33" s="5"/>
      <c r="L33" s="5" t="s">
        <v>245</v>
      </c>
      <c r="M33" s="5"/>
      <c r="N33" s="5" t="s">
        <v>235</v>
      </c>
      <c r="O33" s="5" t="s">
        <v>207</v>
      </c>
      <c r="P33" s="5" t="s">
        <v>210</v>
      </c>
      <c r="Q33" s="5"/>
      <c r="R33" s="5"/>
      <c r="S33" s="5"/>
      <c r="T33" s="5" t="s">
        <v>428</v>
      </c>
      <c r="U33" s="5"/>
      <c r="V33" s="5" t="s">
        <v>228</v>
      </c>
      <c r="W33" s="5" t="s">
        <v>422</v>
      </c>
      <c r="X33" s="5" t="s">
        <v>210</v>
      </c>
    </row>
    <row r="34" customFormat="false" ht="23.85" hidden="false" customHeight="false" outlineLevel="0" collapsed="false">
      <c r="A34" s="5" t="s">
        <v>349</v>
      </c>
      <c r="B34" s="5" t="s">
        <v>412</v>
      </c>
      <c r="C34" s="5" t="s">
        <v>351</v>
      </c>
      <c r="D34" s="5" t="s">
        <v>413</v>
      </c>
      <c r="E34" s="5" t="n">
        <v>5</v>
      </c>
      <c r="F34" s="5" t="s">
        <v>429</v>
      </c>
      <c r="G34" s="5" t="s">
        <v>390</v>
      </c>
      <c r="H34" s="5" t="s">
        <v>430</v>
      </c>
      <c r="I34" s="5"/>
      <c r="J34" s="5" t="s">
        <v>244</v>
      </c>
      <c r="K34" s="5"/>
      <c r="L34" s="5" t="s">
        <v>207</v>
      </c>
      <c r="M34" s="5"/>
      <c r="N34" s="5" t="s">
        <v>235</v>
      </c>
      <c r="O34" s="5" t="s">
        <v>207</v>
      </c>
      <c r="P34" s="5" t="s">
        <v>210</v>
      </c>
      <c r="Q34" s="5"/>
      <c r="R34" s="5"/>
      <c r="S34" s="5"/>
      <c r="T34" s="5" t="s">
        <v>428</v>
      </c>
      <c r="U34" s="5"/>
      <c r="V34" s="5" t="s">
        <v>228</v>
      </c>
      <c r="W34" s="5"/>
      <c r="X34" s="5" t="s">
        <v>210</v>
      </c>
    </row>
    <row r="35" customFormat="false" ht="23.85" hidden="false" customHeight="false" outlineLevel="0" collapsed="false">
      <c r="A35" s="5" t="s">
        <v>349</v>
      </c>
      <c r="B35" s="5" t="s">
        <v>412</v>
      </c>
      <c r="C35" s="5" t="s">
        <v>351</v>
      </c>
      <c r="D35" s="5" t="s">
        <v>413</v>
      </c>
      <c r="E35" s="5" t="n">
        <v>6</v>
      </c>
      <c r="F35" s="5" t="s">
        <v>431</v>
      </c>
      <c r="G35" s="5" t="s">
        <v>395</v>
      </c>
      <c r="H35" s="5" t="s">
        <v>432</v>
      </c>
      <c r="I35" s="5"/>
      <c r="J35" s="5" t="s">
        <v>244</v>
      </c>
      <c r="K35" s="5"/>
      <c r="L35" s="5" t="s">
        <v>245</v>
      </c>
      <c r="M35" s="5"/>
      <c r="N35" s="5" t="s">
        <v>235</v>
      </c>
      <c r="O35" s="5" t="s">
        <v>207</v>
      </c>
      <c r="P35" s="5" t="s">
        <v>210</v>
      </c>
      <c r="Q35" s="5"/>
      <c r="R35" s="5"/>
      <c r="S35" s="5"/>
      <c r="T35" s="5" t="s">
        <v>428</v>
      </c>
      <c r="U35" s="5"/>
      <c r="V35" s="5" t="s">
        <v>228</v>
      </c>
      <c r="W35" s="5" t="s">
        <v>422</v>
      </c>
      <c r="X35" s="5" t="s">
        <v>210</v>
      </c>
    </row>
    <row r="36" customFormat="false" ht="35.05" hidden="false" customHeight="false" outlineLevel="0" collapsed="false">
      <c r="A36" s="5" t="s">
        <v>349</v>
      </c>
      <c r="B36" s="5" t="s">
        <v>412</v>
      </c>
      <c r="C36" s="5" t="s">
        <v>351</v>
      </c>
      <c r="D36" s="5" t="s">
        <v>413</v>
      </c>
      <c r="E36" s="5" t="n">
        <v>7</v>
      </c>
      <c r="F36" s="5" t="s">
        <v>433</v>
      </c>
      <c r="G36" s="5" t="s">
        <v>399</v>
      </c>
      <c r="H36" s="5" t="s">
        <v>401</v>
      </c>
      <c r="I36" s="5"/>
      <c r="J36" s="5" t="s">
        <v>265</v>
      </c>
      <c r="K36" s="5" t="s">
        <v>401</v>
      </c>
      <c r="L36" s="5" t="s">
        <v>245</v>
      </c>
      <c r="M36" s="5"/>
      <c r="N36" s="5" t="s">
        <v>235</v>
      </c>
      <c r="O36" s="5" t="s">
        <v>207</v>
      </c>
      <c r="P36" s="5" t="s">
        <v>210</v>
      </c>
      <c r="Q36" s="5"/>
      <c r="R36" s="5"/>
      <c r="S36" s="5"/>
      <c r="T36" s="5" t="s">
        <v>434</v>
      </c>
      <c r="U36" s="5"/>
      <c r="V36" s="5" t="s">
        <v>228</v>
      </c>
      <c r="W36" s="5" t="s">
        <v>422</v>
      </c>
      <c r="X36" s="5" t="s">
        <v>210</v>
      </c>
    </row>
    <row r="37" customFormat="false" ht="23.85" hidden="false" customHeight="false" outlineLevel="0" collapsed="false">
      <c r="A37" s="5" t="s">
        <v>349</v>
      </c>
      <c r="B37" s="5" t="s">
        <v>412</v>
      </c>
      <c r="C37" s="5" t="s">
        <v>351</v>
      </c>
      <c r="D37" s="5" t="s">
        <v>413</v>
      </c>
      <c r="E37" s="5" t="n">
        <v>8</v>
      </c>
      <c r="F37" s="5" t="s">
        <v>435</v>
      </c>
      <c r="G37" s="5" t="s">
        <v>407</v>
      </c>
      <c r="H37" s="5" t="s">
        <v>436</v>
      </c>
      <c r="I37" s="5"/>
      <c r="J37" s="5" t="s">
        <v>409</v>
      </c>
      <c r="K37" s="5"/>
      <c r="L37" s="5" t="s">
        <v>245</v>
      </c>
      <c r="M37" s="5"/>
      <c r="N37" s="5" t="s">
        <v>235</v>
      </c>
      <c r="O37" s="5" t="s">
        <v>207</v>
      </c>
      <c r="P37" s="5" t="s">
        <v>210</v>
      </c>
      <c r="Q37" s="5"/>
      <c r="R37" s="5"/>
      <c r="S37" s="5"/>
      <c r="T37" s="5" t="s">
        <v>437</v>
      </c>
      <c r="U37" s="5"/>
      <c r="V37" s="5" t="s">
        <v>228</v>
      </c>
      <c r="W37" s="5" t="s">
        <v>422</v>
      </c>
      <c r="X37" s="5" t="s">
        <v>210</v>
      </c>
    </row>
    <row r="38" customFormat="false" ht="46.25" hidden="false" customHeight="false" outlineLevel="0" collapsed="false">
      <c r="A38" s="5" t="s">
        <v>349</v>
      </c>
      <c r="B38" s="5" t="s">
        <v>438</v>
      </c>
      <c r="C38" s="5" t="s">
        <v>351</v>
      </c>
      <c r="D38" s="5" t="s">
        <v>439</v>
      </c>
      <c r="E38" s="5" t="n">
        <v>1</v>
      </c>
      <c r="F38" s="5" t="s">
        <v>440</v>
      </c>
      <c r="G38" s="5" t="s">
        <v>441</v>
      </c>
      <c r="H38" s="5" t="s">
        <v>442</v>
      </c>
      <c r="I38" s="5"/>
      <c r="J38" s="5" t="s">
        <v>244</v>
      </c>
      <c r="K38" s="5"/>
      <c r="L38" s="5" t="s">
        <v>207</v>
      </c>
      <c r="M38" s="5"/>
      <c r="N38" s="5" t="s">
        <v>235</v>
      </c>
      <c r="O38" s="5" t="s">
        <v>207</v>
      </c>
      <c r="P38" s="5" t="s">
        <v>210</v>
      </c>
      <c r="Q38" s="5"/>
      <c r="R38" s="5"/>
      <c r="S38" s="5"/>
      <c r="T38" s="5" t="s">
        <v>417</v>
      </c>
      <c r="U38" s="5"/>
      <c r="V38" s="5" t="s">
        <v>238</v>
      </c>
      <c r="W38" s="5" t="s">
        <v>418</v>
      </c>
      <c r="X38" s="5" t="s">
        <v>210</v>
      </c>
    </row>
    <row r="39" customFormat="false" ht="23.85" hidden="false" customHeight="false" outlineLevel="0" collapsed="false">
      <c r="A39" s="5" t="s">
        <v>349</v>
      </c>
      <c r="B39" s="5" t="s">
        <v>438</v>
      </c>
      <c r="C39" s="5" t="s">
        <v>351</v>
      </c>
      <c r="D39" s="5" t="s">
        <v>439</v>
      </c>
      <c r="E39" s="5" t="n">
        <v>2</v>
      </c>
      <c r="F39" s="5" t="s">
        <v>443</v>
      </c>
      <c r="G39" s="5" t="s">
        <v>368</v>
      </c>
      <c r="H39" s="5" t="s">
        <v>420</v>
      </c>
      <c r="I39" s="5"/>
      <c r="J39" s="5" t="s">
        <v>370</v>
      </c>
      <c r="K39" s="5"/>
      <c r="L39" s="5" t="s">
        <v>245</v>
      </c>
      <c r="M39" s="5"/>
      <c r="N39" s="5" t="s">
        <v>235</v>
      </c>
      <c r="O39" s="5" t="s">
        <v>207</v>
      </c>
      <c r="P39" s="5" t="s">
        <v>210</v>
      </c>
      <c r="Q39" s="5"/>
      <c r="R39" s="5"/>
      <c r="S39" s="5"/>
      <c r="T39" s="5" t="s">
        <v>421</v>
      </c>
      <c r="U39" s="5"/>
      <c r="V39" s="5" t="s">
        <v>228</v>
      </c>
      <c r="W39" s="5" t="s">
        <v>422</v>
      </c>
      <c r="X39" s="5" t="s">
        <v>210</v>
      </c>
    </row>
    <row r="40" customFormat="false" ht="23.85" hidden="false" customHeight="false" outlineLevel="0" collapsed="false">
      <c r="A40" s="5" t="s">
        <v>349</v>
      </c>
      <c r="B40" s="5" t="s">
        <v>438</v>
      </c>
      <c r="C40" s="5" t="s">
        <v>351</v>
      </c>
      <c r="D40" s="5" t="s">
        <v>439</v>
      </c>
      <c r="E40" s="5" t="n">
        <v>3</v>
      </c>
      <c r="F40" s="5" t="s">
        <v>444</v>
      </c>
      <c r="G40" s="5" t="s">
        <v>375</v>
      </c>
      <c r="H40" s="5" t="s">
        <v>424</v>
      </c>
      <c r="I40" s="5"/>
      <c r="J40" s="5" t="s">
        <v>377</v>
      </c>
      <c r="K40" s="5"/>
      <c r="L40" s="5" t="s">
        <v>245</v>
      </c>
      <c r="M40" s="5"/>
      <c r="N40" s="5" t="s">
        <v>235</v>
      </c>
      <c r="O40" s="5" t="s">
        <v>207</v>
      </c>
      <c r="P40" s="5" t="s">
        <v>210</v>
      </c>
      <c r="Q40" s="5"/>
      <c r="R40" s="5"/>
      <c r="S40" s="5"/>
      <c r="T40" s="5" t="s">
        <v>425</v>
      </c>
      <c r="U40" s="5"/>
      <c r="V40" s="5" t="s">
        <v>228</v>
      </c>
      <c r="W40" s="5" t="s">
        <v>422</v>
      </c>
      <c r="X40" s="5" t="s">
        <v>210</v>
      </c>
    </row>
    <row r="41" customFormat="false" ht="23.85" hidden="false" customHeight="false" outlineLevel="0" collapsed="false">
      <c r="A41" s="5" t="s">
        <v>349</v>
      </c>
      <c r="B41" s="5" t="s">
        <v>438</v>
      </c>
      <c r="C41" s="5" t="s">
        <v>351</v>
      </c>
      <c r="D41" s="5" t="s">
        <v>439</v>
      </c>
      <c r="E41" s="5" t="n">
        <v>4</v>
      </c>
      <c r="F41" s="5" t="s">
        <v>445</v>
      </c>
      <c r="G41" s="5" t="s">
        <v>385</v>
      </c>
      <c r="H41" s="5" t="s">
        <v>427</v>
      </c>
      <c r="I41" s="5"/>
      <c r="J41" s="5" t="s">
        <v>244</v>
      </c>
      <c r="K41" s="5"/>
      <c r="L41" s="5" t="s">
        <v>245</v>
      </c>
      <c r="M41" s="5"/>
      <c r="N41" s="5" t="s">
        <v>235</v>
      </c>
      <c r="O41" s="5" t="s">
        <v>207</v>
      </c>
      <c r="P41" s="5" t="s">
        <v>210</v>
      </c>
      <c r="Q41" s="5"/>
      <c r="R41" s="5"/>
      <c r="S41" s="5"/>
      <c r="T41" s="5" t="s">
        <v>428</v>
      </c>
      <c r="U41" s="5"/>
      <c r="V41" s="5" t="s">
        <v>228</v>
      </c>
      <c r="W41" s="5" t="s">
        <v>422</v>
      </c>
      <c r="X41" s="5" t="s">
        <v>210</v>
      </c>
    </row>
    <row r="42" customFormat="false" ht="23.85" hidden="false" customHeight="false" outlineLevel="0" collapsed="false">
      <c r="A42" s="5" t="s">
        <v>349</v>
      </c>
      <c r="B42" s="5" t="s">
        <v>438</v>
      </c>
      <c r="C42" s="5" t="s">
        <v>351</v>
      </c>
      <c r="D42" s="5" t="s">
        <v>439</v>
      </c>
      <c r="E42" s="5" t="n">
        <v>5</v>
      </c>
      <c r="F42" s="5" t="s">
        <v>446</v>
      </c>
      <c r="G42" s="5" t="s">
        <v>390</v>
      </c>
      <c r="H42" s="5" t="s">
        <v>430</v>
      </c>
      <c r="I42" s="5"/>
      <c r="J42" s="5" t="s">
        <v>244</v>
      </c>
      <c r="K42" s="5"/>
      <c r="L42" s="5" t="s">
        <v>207</v>
      </c>
      <c r="M42" s="5"/>
      <c r="N42" s="5" t="s">
        <v>235</v>
      </c>
      <c r="O42" s="5" t="s">
        <v>207</v>
      </c>
      <c r="P42" s="5" t="s">
        <v>210</v>
      </c>
      <c r="Q42" s="5"/>
      <c r="R42" s="5"/>
      <c r="S42" s="5"/>
      <c r="T42" s="5" t="s">
        <v>428</v>
      </c>
      <c r="U42" s="5"/>
      <c r="V42" s="5" t="s">
        <v>228</v>
      </c>
      <c r="W42" s="5"/>
      <c r="X42" s="5" t="s">
        <v>210</v>
      </c>
    </row>
    <row r="43" customFormat="false" ht="23.85" hidden="false" customHeight="false" outlineLevel="0" collapsed="false">
      <c r="A43" s="5" t="s">
        <v>349</v>
      </c>
      <c r="B43" s="5" t="s">
        <v>438</v>
      </c>
      <c r="C43" s="5" t="s">
        <v>351</v>
      </c>
      <c r="D43" s="5" t="s">
        <v>439</v>
      </c>
      <c r="E43" s="5" t="n">
        <v>6</v>
      </c>
      <c r="F43" s="5" t="s">
        <v>447</v>
      </c>
      <c r="G43" s="5" t="s">
        <v>395</v>
      </c>
      <c r="H43" s="5" t="s">
        <v>432</v>
      </c>
      <c r="I43" s="5"/>
      <c r="J43" s="5" t="s">
        <v>244</v>
      </c>
      <c r="K43" s="5"/>
      <c r="L43" s="5" t="s">
        <v>245</v>
      </c>
      <c r="M43" s="5"/>
      <c r="N43" s="5" t="s">
        <v>235</v>
      </c>
      <c r="O43" s="5" t="s">
        <v>207</v>
      </c>
      <c r="P43" s="5" t="s">
        <v>210</v>
      </c>
      <c r="Q43" s="5"/>
      <c r="R43" s="5"/>
      <c r="S43" s="5"/>
      <c r="T43" s="5" t="s">
        <v>428</v>
      </c>
      <c r="U43" s="5"/>
      <c r="V43" s="5" t="s">
        <v>228</v>
      </c>
      <c r="W43" s="5" t="s">
        <v>422</v>
      </c>
      <c r="X43" s="5" t="s">
        <v>210</v>
      </c>
    </row>
    <row r="44" customFormat="false" ht="35.05" hidden="false" customHeight="false" outlineLevel="0" collapsed="false">
      <c r="A44" s="5" t="s">
        <v>349</v>
      </c>
      <c r="B44" s="5" t="s">
        <v>438</v>
      </c>
      <c r="C44" s="5" t="s">
        <v>351</v>
      </c>
      <c r="D44" s="5" t="s">
        <v>439</v>
      </c>
      <c r="E44" s="5" t="n">
        <v>7</v>
      </c>
      <c r="F44" s="5" t="s">
        <v>448</v>
      </c>
      <c r="G44" s="5" t="s">
        <v>399</v>
      </c>
      <c r="H44" s="5" t="s">
        <v>401</v>
      </c>
      <c r="I44" s="5"/>
      <c r="J44" s="5" t="s">
        <v>265</v>
      </c>
      <c r="K44" s="5" t="s">
        <v>401</v>
      </c>
      <c r="L44" s="5" t="s">
        <v>245</v>
      </c>
      <c r="M44" s="5"/>
      <c r="N44" s="5" t="s">
        <v>235</v>
      </c>
      <c r="O44" s="5" t="s">
        <v>207</v>
      </c>
      <c r="P44" s="5" t="s">
        <v>210</v>
      </c>
      <c r="Q44" s="5"/>
      <c r="R44" s="5"/>
      <c r="S44" s="5"/>
      <c r="T44" s="5" t="s">
        <v>434</v>
      </c>
      <c r="U44" s="5"/>
      <c r="V44" s="5" t="s">
        <v>228</v>
      </c>
      <c r="W44" s="5" t="s">
        <v>422</v>
      </c>
      <c r="X44" s="5" t="s">
        <v>210</v>
      </c>
    </row>
    <row r="45" customFormat="false" ht="23.85" hidden="false" customHeight="false" outlineLevel="0" collapsed="false">
      <c r="A45" s="5" t="s">
        <v>349</v>
      </c>
      <c r="B45" s="5" t="s">
        <v>438</v>
      </c>
      <c r="C45" s="5" t="s">
        <v>351</v>
      </c>
      <c r="D45" s="5" t="s">
        <v>439</v>
      </c>
      <c r="E45" s="5" t="n">
        <v>8</v>
      </c>
      <c r="F45" s="5" t="s">
        <v>449</v>
      </c>
      <c r="G45" s="5" t="s">
        <v>407</v>
      </c>
      <c r="H45" s="5" t="s">
        <v>436</v>
      </c>
      <c r="I45" s="5"/>
      <c r="J45" s="5" t="s">
        <v>409</v>
      </c>
      <c r="K45" s="5"/>
      <c r="L45" s="5" t="s">
        <v>245</v>
      </c>
      <c r="M45" s="5"/>
      <c r="N45" s="5" t="s">
        <v>235</v>
      </c>
      <c r="O45" s="5" t="s">
        <v>207</v>
      </c>
      <c r="P45" s="5" t="s">
        <v>210</v>
      </c>
      <c r="Q45" s="5"/>
      <c r="R45" s="5"/>
      <c r="S45" s="5"/>
      <c r="T45" s="5" t="s">
        <v>437</v>
      </c>
      <c r="U45" s="5"/>
      <c r="V45" s="5" t="s">
        <v>228</v>
      </c>
      <c r="W45" s="5" t="s">
        <v>422</v>
      </c>
      <c r="X45" s="5" t="s">
        <v>210</v>
      </c>
    </row>
    <row r="46" customFormat="false" ht="57.45" hidden="false" customHeight="false" outlineLevel="0" collapsed="false">
      <c r="A46" s="5" t="s">
        <v>450</v>
      </c>
      <c r="B46" s="5" t="s">
        <v>451</v>
      </c>
      <c r="C46" s="5" t="s">
        <v>452</v>
      </c>
      <c r="D46" s="5" t="s">
        <v>453</v>
      </c>
      <c r="E46" s="5" t="n">
        <v>1</v>
      </c>
      <c r="F46" s="5" t="s">
        <v>454</v>
      </c>
      <c r="G46" s="5" t="s">
        <v>455</v>
      </c>
      <c r="H46" s="5" t="s">
        <v>456</v>
      </c>
      <c r="I46" s="5"/>
      <c r="J46" s="5" t="s">
        <v>224</v>
      </c>
      <c r="K46" s="5" t="s">
        <v>457</v>
      </c>
      <c r="L46" s="5" t="s">
        <v>210</v>
      </c>
      <c r="M46" s="5"/>
      <c r="N46" s="5" t="s">
        <v>235</v>
      </c>
      <c r="O46" s="5" t="s">
        <v>207</v>
      </c>
      <c r="P46" s="5" t="s">
        <v>210</v>
      </c>
      <c r="Q46" s="5"/>
      <c r="R46" s="5"/>
      <c r="S46" s="5"/>
      <c r="T46" s="5" t="s">
        <v>458</v>
      </c>
      <c r="U46" s="5" t="s">
        <v>261</v>
      </c>
      <c r="V46" s="5" t="s">
        <v>238</v>
      </c>
      <c r="W46" s="5" t="s">
        <v>459</v>
      </c>
      <c r="X46" s="5" t="s">
        <v>210</v>
      </c>
    </row>
    <row r="47" customFormat="false" ht="23.85" hidden="false" customHeight="false" outlineLevel="0" collapsed="false">
      <c r="A47" s="5" t="s">
        <v>450</v>
      </c>
      <c r="B47" s="5" t="s">
        <v>460</v>
      </c>
      <c r="C47" s="5" t="s">
        <v>452</v>
      </c>
      <c r="D47" s="5" t="s">
        <v>352</v>
      </c>
      <c r="E47" s="5" t="n">
        <v>1</v>
      </c>
      <c r="F47" s="5" t="s">
        <v>461</v>
      </c>
      <c r="G47" s="5" t="s">
        <v>462</v>
      </c>
      <c r="H47" s="5" t="s">
        <v>463</v>
      </c>
      <c r="I47" s="5"/>
      <c r="J47" s="5" t="s">
        <v>206</v>
      </c>
      <c r="K47" s="5" t="s">
        <v>464</v>
      </c>
      <c r="L47" s="5" t="s">
        <v>210</v>
      </c>
      <c r="M47" s="5"/>
      <c r="N47" s="5" t="s">
        <v>235</v>
      </c>
      <c r="O47" s="5" t="s">
        <v>207</v>
      </c>
      <c r="P47" s="5" t="s">
        <v>210</v>
      </c>
      <c r="Q47" s="5"/>
      <c r="R47" s="5"/>
      <c r="S47" s="5"/>
      <c r="T47" s="5" t="s">
        <v>357</v>
      </c>
      <c r="U47" s="5"/>
      <c r="V47" s="5" t="s">
        <v>238</v>
      </c>
      <c r="W47" s="5" t="s">
        <v>465</v>
      </c>
      <c r="X47" s="5" t="s">
        <v>210</v>
      </c>
    </row>
    <row r="48" customFormat="false" ht="23.85" hidden="false" customHeight="false" outlineLevel="0" collapsed="false">
      <c r="A48" s="5" t="s">
        <v>450</v>
      </c>
      <c r="B48" s="5" t="s">
        <v>466</v>
      </c>
      <c r="C48" s="5" t="s">
        <v>452</v>
      </c>
      <c r="D48" s="5" t="s">
        <v>352</v>
      </c>
      <c r="E48" s="5" t="n">
        <v>2</v>
      </c>
      <c r="F48" s="5" t="s">
        <v>467</v>
      </c>
      <c r="G48" s="5" t="s">
        <v>368</v>
      </c>
      <c r="H48" s="5" t="s">
        <v>369</v>
      </c>
      <c r="I48" s="5"/>
      <c r="J48" s="5" t="s">
        <v>370</v>
      </c>
      <c r="K48" s="5"/>
      <c r="L48" s="5" t="s">
        <v>210</v>
      </c>
      <c r="M48" s="5"/>
      <c r="N48" s="5" t="s">
        <v>235</v>
      </c>
      <c r="O48" s="5" t="s">
        <v>207</v>
      </c>
      <c r="P48" s="5" t="s">
        <v>210</v>
      </c>
      <c r="Q48" s="5"/>
      <c r="R48" s="5"/>
      <c r="S48" s="5"/>
      <c r="T48" s="5" t="s">
        <v>371</v>
      </c>
      <c r="U48" s="5" t="s">
        <v>468</v>
      </c>
      <c r="V48" s="5" t="s">
        <v>228</v>
      </c>
      <c r="W48" s="5"/>
      <c r="X48" s="5" t="s">
        <v>210</v>
      </c>
    </row>
    <row r="49" customFormat="false" ht="23.85" hidden="false" customHeight="false" outlineLevel="0" collapsed="false">
      <c r="A49" s="5" t="s">
        <v>450</v>
      </c>
      <c r="B49" s="5" t="s">
        <v>466</v>
      </c>
      <c r="C49" s="5" t="s">
        <v>452</v>
      </c>
      <c r="D49" s="5" t="s">
        <v>352</v>
      </c>
      <c r="E49" s="5" t="n">
        <v>3</v>
      </c>
      <c r="F49" s="5" t="s">
        <v>469</v>
      </c>
      <c r="G49" s="5" t="s">
        <v>375</v>
      </c>
      <c r="H49" s="5" t="s">
        <v>376</v>
      </c>
      <c r="I49" s="5"/>
      <c r="J49" s="5" t="s">
        <v>377</v>
      </c>
      <c r="K49" s="5"/>
      <c r="L49" s="5" t="s">
        <v>210</v>
      </c>
      <c r="M49" s="5"/>
      <c r="N49" s="5" t="s">
        <v>235</v>
      </c>
      <c r="O49" s="5" t="s">
        <v>207</v>
      </c>
      <c r="P49" s="5" t="s">
        <v>210</v>
      </c>
      <c r="Q49" s="5"/>
      <c r="R49" s="5"/>
      <c r="S49" s="5"/>
      <c r="T49" s="5" t="s">
        <v>378</v>
      </c>
      <c r="U49" s="5" t="s">
        <v>470</v>
      </c>
      <c r="V49" s="5" t="s">
        <v>228</v>
      </c>
      <c r="W49" s="5"/>
      <c r="X49" s="5" t="s">
        <v>210</v>
      </c>
    </row>
    <row r="50" customFormat="false" ht="23.85" hidden="false" customHeight="false" outlineLevel="0" collapsed="false">
      <c r="A50" s="5" t="s">
        <v>450</v>
      </c>
      <c r="B50" s="5" t="s">
        <v>466</v>
      </c>
      <c r="C50" s="5" t="s">
        <v>452</v>
      </c>
      <c r="D50" s="5" t="s">
        <v>352</v>
      </c>
      <c r="E50" s="5" t="n">
        <v>4</v>
      </c>
      <c r="F50" s="5" t="s">
        <v>471</v>
      </c>
      <c r="G50" s="5" t="s">
        <v>381</v>
      </c>
      <c r="H50" s="5" t="s">
        <v>382</v>
      </c>
      <c r="I50" s="5"/>
      <c r="J50" s="5" t="s">
        <v>377</v>
      </c>
      <c r="K50" s="5"/>
      <c r="L50" s="5" t="s">
        <v>207</v>
      </c>
      <c r="M50" s="5"/>
      <c r="N50" s="5" t="s">
        <v>235</v>
      </c>
      <c r="O50" s="5" t="s">
        <v>207</v>
      </c>
      <c r="P50" s="5" t="s">
        <v>210</v>
      </c>
      <c r="Q50" s="5"/>
      <c r="R50" s="5"/>
      <c r="S50" s="5"/>
      <c r="T50" s="5" t="s">
        <v>378</v>
      </c>
      <c r="U50" s="5" t="s">
        <v>472</v>
      </c>
      <c r="V50" s="5" t="s">
        <v>228</v>
      </c>
      <c r="W50" s="5" t="s">
        <v>473</v>
      </c>
      <c r="X50" s="5" t="s">
        <v>210</v>
      </c>
    </row>
    <row r="51" customFormat="false" ht="23.85" hidden="false" customHeight="false" outlineLevel="0" collapsed="false">
      <c r="A51" s="5" t="s">
        <v>450</v>
      </c>
      <c r="B51" s="5" t="s">
        <v>466</v>
      </c>
      <c r="C51" s="5" t="s">
        <v>452</v>
      </c>
      <c r="D51" s="5" t="s">
        <v>352</v>
      </c>
      <c r="E51" s="5" t="n">
        <v>5</v>
      </c>
      <c r="F51" s="5" t="s">
        <v>474</v>
      </c>
      <c r="G51" s="5" t="s">
        <v>385</v>
      </c>
      <c r="H51" s="5" t="s">
        <v>386</v>
      </c>
      <c r="I51" s="5"/>
      <c r="J51" s="5" t="s">
        <v>244</v>
      </c>
      <c r="K51" s="5"/>
      <c r="L51" s="5" t="s">
        <v>210</v>
      </c>
      <c r="M51" s="5"/>
      <c r="N51" s="5" t="s">
        <v>235</v>
      </c>
      <c r="O51" s="5" t="s">
        <v>207</v>
      </c>
      <c r="P51" s="5" t="s">
        <v>210</v>
      </c>
      <c r="Q51" s="5"/>
      <c r="R51" s="5"/>
      <c r="S51" s="5"/>
      <c r="T51" s="5" t="s">
        <v>387</v>
      </c>
      <c r="U51" s="5" t="s">
        <v>475</v>
      </c>
      <c r="V51" s="5" t="s">
        <v>228</v>
      </c>
      <c r="W51" s="5"/>
      <c r="X51" s="5" t="s">
        <v>210</v>
      </c>
    </row>
    <row r="52" customFormat="false" ht="23.85" hidden="false" customHeight="false" outlineLevel="0" collapsed="false">
      <c r="A52" s="5" t="s">
        <v>450</v>
      </c>
      <c r="B52" s="5" t="s">
        <v>466</v>
      </c>
      <c r="C52" s="5" t="s">
        <v>452</v>
      </c>
      <c r="D52" s="5" t="s">
        <v>352</v>
      </c>
      <c r="E52" s="5" t="n">
        <v>6</v>
      </c>
      <c r="F52" s="5" t="s">
        <v>476</v>
      </c>
      <c r="G52" s="5" t="s">
        <v>390</v>
      </c>
      <c r="H52" s="5" t="s">
        <v>391</v>
      </c>
      <c r="I52" s="5"/>
      <c r="J52" s="5" t="s">
        <v>244</v>
      </c>
      <c r="K52" s="5"/>
      <c r="L52" s="5" t="s">
        <v>207</v>
      </c>
      <c r="M52" s="5"/>
      <c r="N52" s="5" t="s">
        <v>235</v>
      </c>
      <c r="O52" s="5" t="s">
        <v>207</v>
      </c>
      <c r="P52" s="5" t="s">
        <v>210</v>
      </c>
      <c r="Q52" s="5"/>
      <c r="R52" s="5"/>
      <c r="S52" s="5"/>
      <c r="T52" s="5" t="s">
        <v>387</v>
      </c>
      <c r="U52" s="5" t="s">
        <v>477</v>
      </c>
      <c r="V52" s="5" t="s">
        <v>228</v>
      </c>
      <c r="W52" s="5" t="s">
        <v>393</v>
      </c>
      <c r="X52" s="5" t="s">
        <v>210</v>
      </c>
    </row>
    <row r="53" customFormat="false" ht="23.85" hidden="false" customHeight="false" outlineLevel="0" collapsed="false">
      <c r="A53" s="5" t="s">
        <v>450</v>
      </c>
      <c r="B53" s="5" t="s">
        <v>466</v>
      </c>
      <c r="C53" s="5" t="s">
        <v>452</v>
      </c>
      <c r="D53" s="5" t="s">
        <v>352</v>
      </c>
      <c r="E53" s="5" t="n">
        <v>7</v>
      </c>
      <c r="F53" s="5" t="s">
        <v>478</v>
      </c>
      <c r="G53" s="5" t="s">
        <v>395</v>
      </c>
      <c r="H53" s="5" t="s">
        <v>396</v>
      </c>
      <c r="I53" s="5"/>
      <c r="J53" s="5" t="s">
        <v>244</v>
      </c>
      <c r="K53" s="5"/>
      <c r="L53" s="5" t="s">
        <v>210</v>
      </c>
      <c r="M53" s="5"/>
      <c r="N53" s="5" t="s">
        <v>235</v>
      </c>
      <c r="O53" s="5" t="s">
        <v>207</v>
      </c>
      <c r="P53" s="5" t="s">
        <v>210</v>
      </c>
      <c r="Q53" s="5"/>
      <c r="R53" s="5"/>
      <c r="S53" s="5"/>
      <c r="T53" s="5" t="s">
        <v>387</v>
      </c>
      <c r="U53" s="5" t="s">
        <v>479</v>
      </c>
      <c r="V53" s="5" t="s">
        <v>228</v>
      </c>
      <c r="W53" s="5"/>
      <c r="X53" s="5" t="s">
        <v>210</v>
      </c>
    </row>
    <row r="54" customFormat="false" ht="23.85" hidden="false" customHeight="false" outlineLevel="0" collapsed="false">
      <c r="A54" s="5" t="s">
        <v>450</v>
      </c>
      <c r="B54" s="5" t="s">
        <v>466</v>
      </c>
      <c r="C54" s="5" t="s">
        <v>452</v>
      </c>
      <c r="D54" s="5" t="s">
        <v>352</v>
      </c>
      <c r="E54" s="5" t="n">
        <v>8</v>
      </c>
      <c r="F54" s="5" t="s">
        <v>480</v>
      </c>
      <c r="G54" s="5" t="s">
        <v>399</v>
      </c>
      <c r="H54" s="5" t="s">
        <v>400</v>
      </c>
      <c r="I54" s="5"/>
      <c r="J54" s="5" t="s">
        <v>265</v>
      </c>
      <c r="K54" s="5" t="s">
        <v>401</v>
      </c>
      <c r="L54" s="5" t="s">
        <v>210</v>
      </c>
      <c r="M54" s="5"/>
      <c r="N54" s="5" t="s">
        <v>235</v>
      </c>
      <c r="O54" s="5" t="s">
        <v>207</v>
      </c>
      <c r="P54" s="5" t="s">
        <v>210</v>
      </c>
      <c r="Q54" s="5"/>
      <c r="R54" s="5"/>
      <c r="S54" s="5"/>
      <c r="T54" s="5" t="s">
        <v>403</v>
      </c>
      <c r="U54" s="5" t="s">
        <v>481</v>
      </c>
      <c r="V54" s="5" t="s">
        <v>228</v>
      </c>
      <c r="W54" s="5"/>
      <c r="X54" s="5" t="s">
        <v>210</v>
      </c>
    </row>
    <row r="55" customFormat="false" ht="23.85" hidden="false" customHeight="false" outlineLevel="0" collapsed="false">
      <c r="A55" s="5" t="s">
        <v>450</v>
      </c>
      <c r="B55" s="5" t="s">
        <v>466</v>
      </c>
      <c r="C55" s="5" t="s">
        <v>452</v>
      </c>
      <c r="D55" s="5" t="s">
        <v>352</v>
      </c>
      <c r="E55" s="5" t="n">
        <v>9</v>
      </c>
      <c r="F55" s="5" t="s">
        <v>482</v>
      </c>
      <c r="G55" s="5" t="s">
        <v>407</v>
      </c>
      <c r="H55" s="5" t="s">
        <v>408</v>
      </c>
      <c r="I55" s="5"/>
      <c r="J55" s="5" t="s">
        <v>409</v>
      </c>
      <c r="K55" s="5"/>
      <c r="L55" s="5" t="s">
        <v>210</v>
      </c>
      <c r="M55" s="5"/>
      <c r="N55" s="5" t="s">
        <v>235</v>
      </c>
      <c r="O55" s="5" t="s">
        <v>207</v>
      </c>
      <c r="P55" s="5" t="s">
        <v>210</v>
      </c>
      <c r="Q55" s="5"/>
      <c r="R55" s="5"/>
      <c r="S55" s="5"/>
      <c r="T55" s="5" t="s">
        <v>410</v>
      </c>
      <c r="U55" s="5" t="s">
        <v>483</v>
      </c>
      <c r="V55" s="5" t="s">
        <v>228</v>
      </c>
      <c r="W55" s="5"/>
      <c r="X55" s="5" t="s">
        <v>210</v>
      </c>
    </row>
    <row r="56" customFormat="false" ht="46.25" hidden="false" customHeight="false" outlineLevel="0" collapsed="false">
      <c r="A56" s="5" t="s">
        <v>450</v>
      </c>
      <c r="B56" s="5" t="s">
        <v>484</v>
      </c>
      <c r="C56" s="5" t="s">
        <v>452</v>
      </c>
      <c r="D56" s="5" t="s">
        <v>413</v>
      </c>
      <c r="E56" s="5" t="n">
        <v>1</v>
      </c>
      <c r="F56" s="5" t="s">
        <v>485</v>
      </c>
      <c r="G56" s="5" t="s">
        <v>415</v>
      </c>
      <c r="H56" s="5" t="s">
        <v>416</v>
      </c>
      <c r="I56" s="5"/>
      <c r="J56" s="5" t="s">
        <v>244</v>
      </c>
      <c r="K56" s="5"/>
      <c r="L56" s="5" t="s">
        <v>207</v>
      </c>
      <c r="M56" s="5"/>
      <c r="N56" s="5" t="s">
        <v>235</v>
      </c>
      <c r="O56" s="5" t="s">
        <v>207</v>
      </c>
      <c r="P56" s="5" t="s">
        <v>210</v>
      </c>
      <c r="Q56" s="5"/>
      <c r="R56" s="5"/>
      <c r="S56" s="5"/>
      <c r="T56" s="5" t="s">
        <v>417</v>
      </c>
      <c r="U56" s="5"/>
      <c r="V56" s="5" t="s">
        <v>238</v>
      </c>
      <c r="W56" s="5" t="s">
        <v>418</v>
      </c>
      <c r="X56" s="5" t="s">
        <v>210</v>
      </c>
    </row>
    <row r="57" customFormat="false" ht="23.85" hidden="false" customHeight="false" outlineLevel="0" collapsed="false">
      <c r="A57" s="5" t="s">
        <v>450</v>
      </c>
      <c r="B57" s="5" t="s">
        <v>484</v>
      </c>
      <c r="C57" s="5" t="s">
        <v>452</v>
      </c>
      <c r="D57" s="5" t="s">
        <v>413</v>
      </c>
      <c r="E57" s="5" t="n">
        <v>2</v>
      </c>
      <c r="F57" s="5" t="s">
        <v>486</v>
      </c>
      <c r="G57" s="5" t="s">
        <v>368</v>
      </c>
      <c r="H57" s="5" t="s">
        <v>420</v>
      </c>
      <c r="I57" s="5"/>
      <c r="J57" s="5" t="s">
        <v>370</v>
      </c>
      <c r="K57" s="5"/>
      <c r="L57" s="5" t="s">
        <v>245</v>
      </c>
      <c r="M57" s="5"/>
      <c r="N57" s="5" t="s">
        <v>235</v>
      </c>
      <c r="O57" s="5" t="s">
        <v>207</v>
      </c>
      <c r="P57" s="5" t="s">
        <v>210</v>
      </c>
      <c r="Q57" s="5"/>
      <c r="R57" s="5"/>
      <c r="S57" s="5"/>
      <c r="T57" s="5" t="s">
        <v>421</v>
      </c>
      <c r="U57" s="5"/>
      <c r="V57" s="5" t="s">
        <v>228</v>
      </c>
      <c r="W57" s="5" t="s">
        <v>422</v>
      </c>
      <c r="X57" s="5" t="s">
        <v>210</v>
      </c>
    </row>
    <row r="58" customFormat="false" ht="23.85" hidden="false" customHeight="false" outlineLevel="0" collapsed="false">
      <c r="A58" s="5" t="s">
        <v>450</v>
      </c>
      <c r="B58" s="5" t="s">
        <v>484</v>
      </c>
      <c r="C58" s="5" t="s">
        <v>452</v>
      </c>
      <c r="D58" s="5" t="s">
        <v>413</v>
      </c>
      <c r="E58" s="5" t="n">
        <v>3</v>
      </c>
      <c r="F58" s="5" t="s">
        <v>487</v>
      </c>
      <c r="G58" s="5" t="s">
        <v>375</v>
      </c>
      <c r="H58" s="5" t="s">
        <v>424</v>
      </c>
      <c r="I58" s="5"/>
      <c r="J58" s="5" t="s">
        <v>377</v>
      </c>
      <c r="K58" s="5"/>
      <c r="L58" s="5" t="s">
        <v>245</v>
      </c>
      <c r="M58" s="5"/>
      <c r="N58" s="5" t="s">
        <v>235</v>
      </c>
      <c r="O58" s="5" t="s">
        <v>207</v>
      </c>
      <c r="P58" s="5" t="s">
        <v>210</v>
      </c>
      <c r="Q58" s="5"/>
      <c r="R58" s="5"/>
      <c r="S58" s="5"/>
      <c r="T58" s="5" t="s">
        <v>425</v>
      </c>
      <c r="U58" s="5"/>
      <c r="V58" s="5" t="s">
        <v>228</v>
      </c>
      <c r="W58" s="5" t="s">
        <v>422</v>
      </c>
      <c r="X58" s="5" t="s">
        <v>210</v>
      </c>
    </row>
    <row r="59" customFormat="false" ht="23.85" hidden="false" customHeight="false" outlineLevel="0" collapsed="false">
      <c r="A59" s="5" t="s">
        <v>450</v>
      </c>
      <c r="B59" s="5" t="s">
        <v>484</v>
      </c>
      <c r="C59" s="5" t="s">
        <v>452</v>
      </c>
      <c r="D59" s="5" t="s">
        <v>413</v>
      </c>
      <c r="E59" s="5" t="n">
        <v>4</v>
      </c>
      <c r="F59" s="5" t="s">
        <v>488</v>
      </c>
      <c r="G59" s="5" t="s">
        <v>385</v>
      </c>
      <c r="H59" s="5" t="s">
        <v>427</v>
      </c>
      <c r="I59" s="5"/>
      <c r="J59" s="5" t="s">
        <v>244</v>
      </c>
      <c r="K59" s="5"/>
      <c r="L59" s="5" t="s">
        <v>245</v>
      </c>
      <c r="M59" s="5"/>
      <c r="N59" s="5" t="s">
        <v>235</v>
      </c>
      <c r="O59" s="5" t="s">
        <v>207</v>
      </c>
      <c r="P59" s="5" t="s">
        <v>210</v>
      </c>
      <c r="Q59" s="5"/>
      <c r="R59" s="5"/>
      <c r="S59" s="5"/>
      <c r="T59" s="5" t="s">
        <v>428</v>
      </c>
      <c r="U59" s="5"/>
      <c r="V59" s="5" t="s">
        <v>228</v>
      </c>
      <c r="W59" s="5" t="s">
        <v>422</v>
      </c>
      <c r="X59" s="5" t="s">
        <v>210</v>
      </c>
    </row>
    <row r="60" customFormat="false" ht="23.85" hidden="false" customHeight="false" outlineLevel="0" collapsed="false">
      <c r="A60" s="5" t="s">
        <v>450</v>
      </c>
      <c r="B60" s="5" t="s">
        <v>484</v>
      </c>
      <c r="C60" s="5" t="s">
        <v>452</v>
      </c>
      <c r="D60" s="5" t="s">
        <v>413</v>
      </c>
      <c r="E60" s="5" t="n">
        <v>5</v>
      </c>
      <c r="F60" s="5" t="s">
        <v>489</v>
      </c>
      <c r="G60" s="5" t="s">
        <v>390</v>
      </c>
      <c r="H60" s="5" t="s">
        <v>430</v>
      </c>
      <c r="I60" s="5"/>
      <c r="J60" s="5" t="s">
        <v>244</v>
      </c>
      <c r="K60" s="5"/>
      <c r="L60" s="5" t="s">
        <v>207</v>
      </c>
      <c r="M60" s="5"/>
      <c r="N60" s="5" t="s">
        <v>235</v>
      </c>
      <c r="O60" s="5" t="s">
        <v>207</v>
      </c>
      <c r="P60" s="5" t="s">
        <v>210</v>
      </c>
      <c r="Q60" s="5"/>
      <c r="R60" s="5"/>
      <c r="S60" s="5"/>
      <c r="T60" s="5" t="s">
        <v>428</v>
      </c>
      <c r="U60" s="5"/>
      <c r="V60" s="5" t="s">
        <v>228</v>
      </c>
      <c r="W60" s="5"/>
      <c r="X60" s="5" t="s">
        <v>210</v>
      </c>
    </row>
    <row r="61" customFormat="false" ht="23.85" hidden="false" customHeight="false" outlineLevel="0" collapsed="false">
      <c r="A61" s="5" t="s">
        <v>450</v>
      </c>
      <c r="B61" s="5" t="s">
        <v>484</v>
      </c>
      <c r="C61" s="5" t="s">
        <v>452</v>
      </c>
      <c r="D61" s="5" t="s">
        <v>413</v>
      </c>
      <c r="E61" s="5" t="n">
        <v>6</v>
      </c>
      <c r="F61" s="5" t="s">
        <v>490</v>
      </c>
      <c r="G61" s="5" t="s">
        <v>395</v>
      </c>
      <c r="H61" s="5" t="s">
        <v>432</v>
      </c>
      <c r="I61" s="5"/>
      <c r="J61" s="5" t="s">
        <v>244</v>
      </c>
      <c r="K61" s="5"/>
      <c r="L61" s="5" t="s">
        <v>245</v>
      </c>
      <c r="M61" s="5"/>
      <c r="N61" s="5" t="s">
        <v>235</v>
      </c>
      <c r="O61" s="5" t="s">
        <v>207</v>
      </c>
      <c r="P61" s="5" t="s">
        <v>210</v>
      </c>
      <c r="Q61" s="5"/>
      <c r="R61" s="5"/>
      <c r="S61" s="5"/>
      <c r="T61" s="5" t="s">
        <v>428</v>
      </c>
      <c r="U61" s="5"/>
      <c r="V61" s="5" t="s">
        <v>228</v>
      </c>
      <c r="W61" s="5" t="s">
        <v>422</v>
      </c>
      <c r="X61" s="5" t="s">
        <v>210</v>
      </c>
    </row>
    <row r="62" customFormat="false" ht="35.05" hidden="false" customHeight="false" outlineLevel="0" collapsed="false">
      <c r="A62" s="5" t="s">
        <v>450</v>
      </c>
      <c r="B62" s="5" t="s">
        <v>484</v>
      </c>
      <c r="C62" s="5" t="s">
        <v>452</v>
      </c>
      <c r="D62" s="5" t="s">
        <v>413</v>
      </c>
      <c r="E62" s="5" t="n">
        <v>7</v>
      </c>
      <c r="F62" s="5" t="s">
        <v>491</v>
      </c>
      <c r="G62" s="5" t="s">
        <v>399</v>
      </c>
      <c r="H62" s="5" t="s">
        <v>401</v>
      </c>
      <c r="I62" s="5"/>
      <c r="J62" s="5" t="s">
        <v>265</v>
      </c>
      <c r="K62" s="5" t="s">
        <v>401</v>
      </c>
      <c r="L62" s="5" t="s">
        <v>245</v>
      </c>
      <c r="M62" s="5"/>
      <c r="N62" s="5" t="s">
        <v>235</v>
      </c>
      <c r="O62" s="5" t="s">
        <v>207</v>
      </c>
      <c r="P62" s="5" t="s">
        <v>210</v>
      </c>
      <c r="Q62" s="5"/>
      <c r="R62" s="5"/>
      <c r="S62" s="5"/>
      <c r="T62" s="5" t="s">
        <v>434</v>
      </c>
      <c r="U62" s="5"/>
      <c r="V62" s="5" t="s">
        <v>228</v>
      </c>
      <c r="W62" s="5" t="s">
        <v>422</v>
      </c>
      <c r="X62" s="5" t="s">
        <v>210</v>
      </c>
    </row>
    <row r="63" customFormat="false" ht="23.85" hidden="false" customHeight="false" outlineLevel="0" collapsed="false">
      <c r="A63" s="5" t="s">
        <v>450</v>
      </c>
      <c r="B63" s="5" t="s">
        <v>484</v>
      </c>
      <c r="C63" s="5" t="s">
        <v>452</v>
      </c>
      <c r="D63" s="5" t="s">
        <v>413</v>
      </c>
      <c r="E63" s="5" t="n">
        <v>8</v>
      </c>
      <c r="F63" s="5" t="s">
        <v>492</v>
      </c>
      <c r="G63" s="5" t="s">
        <v>407</v>
      </c>
      <c r="H63" s="5" t="s">
        <v>436</v>
      </c>
      <c r="I63" s="5"/>
      <c r="J63" s="5" t="s">
        <v>409</v>
      </c>
      <c r="K63" s="5"/>
      <c r="L63" s="5" t="s">
        <v>245</v>
      </c>
      <c r="M63" s="5"/>
      <c r="N63" s="5" t="s">
        <v>235</v>
      </c>
      <c r="O63" s="5" t="s">
        <v>207</v>
      </c>
      <c r="P63" s="5" t="s">
        <v>210</v>
      </c>
      <c r="Q63" s="5"/>
      <c r="R63" s="5"/>
      <c r="S63" s="5"/>
      <c r="T63" s="5" t="s">
        <v>437</v>
      </c>
      <c r="U63" s="5"/>
      <c r="V63" s="5" t="s">
        <v>228</v>
      </c>
      <c r="W63" s="5" t="s">
        <v>422</v>
      </c>
      <c r="X63" s="5" t="s">
        <v>210</v>
      </c>
    </row>
    <row r="64" customFormat="false" ht="46.25" hidden="false" customHeight="false" outlineLevel="0" collapsed="false">
      <c r="A64" s="5" t="s">
        <v>450</v>
      </c>
      <c r="B64" s="5" t="s">
        <v>493</v>
      </c>
      <c r="C64" s="5" t="s">
        <v>452</v>
      </c>
      <c r="D64" s="5" t="s">
        <v>439</v>
      </c>
      <c r="E64" s="5" t="n">
        <v>1</v>
      </c>
      <c r="F64" s="5" t="s">
        <v>494</v>
      </c>
      <c r="G64" s="5" t="s">
        <v>441</v>
      </c>
      <c r="H64" s="5" t="s">
        <v>442</v>
      </c>
      <c r="I64" s="5"/>
      <c r="J64" s="5" t="s">
        <v>244</v>
      </c>
      <c r="K64" s="5"/>
      <c r="L64" s="5" t="s">
        <v>207</v>
      </c>
      <c r="M64" s="5"/>
      <c r="N64" s="5" t="s">
        <v>235</v>
      </c>
      <c r="O64" s="5" t="s">
        <v>207</v>
      </c>
      <c r="P64" s="5" t="s">
        <v>210</v>
      </c>
      <c r="Q64" s="5"/>
      <c r="R64" s="5"/>
      <c r="S64" s="5"/>
      <c r="T64" s="5" t="s">
        <v>417</v>
      </c>
      <c r="U64" s="5"/>
      <c r="V64" s="5" t="s">
        <v>238</v>
      </c>
      <c r="W64" s="5" t="s">
        <v>418</v>
      </c>
      <c r="X64" s="5" t="s">
        <v>210</v>
      </c>
    </row>
    <row r="65" customFormat="false" ht="23.85" hidden="false" customHeight="false" outlineLevel="0" collapsed="false">
      <c r="A65" s="5" t="s">
        <v>450</v>
      </c>
      <c r="B65" s="5" t="s">
        <v>493</v>
      </c>
      <c r="C65" s="5" t="s">
        <v>452</v>
      </c>
      <c r="D65" s="5" t="s">
        <v>439</v>
      </c>
      <c r="E65" s="5" t="n">
        <v>2</v>
      </c>
      <c r="F65" s="5" t="s">
        <v>495</v>
      </c>
      <c r="G65" s="5" t="s">
        <v>368</v>
      </c>
      <c r="H65" s="5" t="s">
        <v>420</v>
      </c>
      <c r="I65" s="5"/>
      <c r="J65" s="5" t="s">
        <v>370</v>
      </c>
      <c r="K65" s="5"/>
      <c r="L65" s="5" t="s">
        <v>245</v>
      </c>
      <c r="M65" s="5"/>
      <c r="N65" s="5" t="s">
        <v>235</v>
      </c>
      <c r="O65" s="5" t="s">
        <v>207</v>
      </c>
      <c r="P65" s="5" t="s">
        <v>210</v>
      </c>
      <c r="Q65" s="5"/>
      <c r="R65" s="5"/>
      <c r="S65" s="5"/>
      <c r="T65" s="5" t="s">
        <v>421</v>
      </c>
      <c r="U65" s="5"/>
      <c r="V65" s="5" t="s">
        <v>228</v>
      </c>
      <c r="W65" s="5" t="s">
        <v>422</v>
      </c>
      <c r="X65" s="5" t="s">
        <v>210</v>
      </c>
    </row>
    <row r="66" customFormat="false" ht="23.85" hidden="false" customHeight="false" outlineLevel="0" collapsed="false">
      <c r="A66" s="5" t="s">
        <v>450</v>
      </c>
      <c r="B66" s="5" t="s">
        <v>493</v>
      </c>
      <c r="C66" s="5" t="s">
        <v>452</v>
      </c>
      <c r="D66" s="5" t="s">
        <v>439</v>
      </c>
      <c r="E66" s="5" t="n">
        <v>3</v>
      </c>
      <c r="F66" s="5" t="s">
        <v>496</v>
      </c>
      <c r="G66" s="5" t="s">
        <v>375</v>
      </c>
      <c r="H66" s="5" t="s">
        <v>424</v>
      </c>
      <c r="I66" s="5"/>
      <c r="J66" s="5" t="s">
        <v>377</v>
      </c>
      <c r="K66" s="5"/>
      <c r="L66" s="5" t="s">
        <v>245</v>
      </c>
      <c r="M66" s="5"/>
      <c r="N66" s="5" t="s">
        <v>235</v>
      </c>
      <c r="O66" s="5" t="s">
        <v>207</v>
      </c>
      <c r="P66" s="5" t="s">
        <v>210</v>
      </c>
      <c r="Q66" s="5"/>
      <c r="R66" s="5"/>
      <c r="S66" s="5"/>
      <c r="T66" s="5" t="s">
        <v>425</v>
      </c>
      <c r="U66" s="5"/>
      <c r="V66" s="5" t="s">
        <v>228</v>
      </c>
      <c r="W66" s="5" t="s">
        <v>422</v>
      </c>
      <c r="X66" s="5" t="s">
        <v>210</v>
      </c>
    </row>
    <row r="67" customFormat="false" ht="23.85" hidden="false" customHeight="false" outlineLevel="0" collapsed="false">
      <c r="A67" s="5" t="s">
        <v>450</v>
      </c>
      <c r="B67" s="5" t="s">
        <v>493</v>
      </c>
      <c r="C67" s="5" t="s">
        <v>452</v>
      </c>
      <c r="D67" s="5" t="s">
        <v>439</v>
      </c>
      <c r="E67" s="5" t="n">
        <v>4</v>
      </c>
      <c r="F67" s="5" t="s">
        <v>497</v>
      </c>
      <c r="G67" s="5" t="s">
        <v>385</v>
      </c>
      <c r="H67" s="5" t="s">
        <v>427</v>
      </c>
      <c r="I67" s="5"/>
      <c r="J67" s="5" t="s">
        <v>244</v>
      </c>
      <c r="K67" s="5"/>
      <c r="L67" s="5" t="s">
        <v>245</v>
      </c>
      <c r="M67" s="5"/>
      <c r="N67" s="5" t="s">
        <v>235</v>
      </c>
      <c r="O67" s="5" t="s">
        <v>207</v>
      </c>
      <c r="P67" s="5" t="s">
        <v>210</v>
      </c>
      <c r="Q67" s="5"/>
      <c r="R67" s="5"/>
      <c r="S67" s="5"/>
      <c r="T67" s="5" t="s">
        <v>428</v>
      </c>
      <c r="U67" s="5"/>
      <c r="V67" s="5" t="s">
        <v>228</v>
      </c>
      <c r="W67" s="5" t="s">
        <v>422</v>
      </c>
      <c r="X67" s="5" t="s">
        <v>210</v>
      </c>
    </row>
    <row r="68" customFormat="false" ht="23.85" hidden="false" customHeight="false" outlineLevel="0" collapsed="false">
      <c r="A68" s="5" t="s">
        <v>450</v>
      </c>
      <c r="B68" s="5" t="s">
        <v>493</v>
      </c>
      <c r="C68" s="5" t="s">
        <v>452</v>
      </c>
      <c r="D68" s="5" t="s">
        <v>439</v>
      </c>
      <c r="E68" s="5" t="n">
        <v>5</v>
      </c>
      <c r="F68" s="5" t="s">
        <v>498</v>
      </c>
      <c r="G68" s="5" t="s">
        <v>390</v>
      </c>
      <c r="H68" s="5" t="s">
        <v>430</v>
      </c>
      <c r="I68" s="5"/>
      <c r="J68" s="5" t="s">
        <v>244</v>
      </c>
      <c r="K68" s="5"/>
      <c r="L68" s="5" t="s">
        <v>207</v>
      </c>
      <c r="M68" s="5"/>
      <c r="N68" s="5" t="s">
        <v>235</v>
      </c>
      <c r="O68" s="5" t="s">
        <v>207</v>
      </c>
      <c r="P68" s="5" t="s">
        <v>210</v>
      </c>
      <c r="Q68" s="5"/>
      <c r="R68" s="5"/>
      <c r="S68" s="5"/>
      <c r="T68" s="5" t="s">
        <v>428</v>
      </c>
      <c r="U68" s="5"/>
      <c r="V68" s="5" t="s">
        <v>228</v>
      </c>
      <c r="W68" s="5"/>
      <c r="X68" s="5" t="s">
        <v>210</v>
      </c>
    </row>
    <row r="69" customFormat="false" ht="23.85" hidden="false" customHeight="false" outlineLevel="0" collapsed="false">
      <c r="A69" s="5" t="s">
        <v>450</v>
      </c>
      <c r="B69" s="5" t="s">
        <v>493</v>
      </c>
      <c r="C69" s="5" t="s">
        <v>452</v>
      </c>
      <c r="D69" s="5" t="s">
        <v>439</v>
      </c>
      <c r="E69" s="5" t="n">
        <v>6</v>
      </c>
      <c r="F69" s="5" t="s">
        <v>499</v>
      </c>
      <c r="G69" s="5" t="s">
        <v>395</v>
      </c>
      <c r="H69" s="5" t="s">
        <v>432</v>
      </c>
      <c r="I69" s="5"/>
      <c r="J69" s="5" t="s">
        <v>244</v>
      </c>
      <c r="K69" s="5"/>
      <c r="L69" s="5" t="s">
        <v>245</v>
      </c>
      <c r="M69" s="5"/>
      <c r="N69" s="5" t="s">
        <v>235</v>
      </c>
      <c r="O69" s="5" t="s">
        <v>207</v>
      </c>
      <c r="P69" s="5" t="s">
        <v>210</v>
      </c>
      <c r="Q69" s="5"/>
      <c r="R69" s="5"/>
      <c r="S69" s="5"/>
      <c r="T69" s="5" t="s">
        <v>428</v>
      </c>
      <c r="U69" s="5"/>
      <c r="V69" s="5" t="s">
        <v>228</v>
      </c>
      <c r="W69" s="5" t="s">
        <v>422</v>
      </c>
      <c r="X69" s="5" t="s">
        <v>210</v>
      </c>
    </row>
    <row r="70" customFormat="false" ht="35.05" hidden="false" customHeight="false" outlineLevel="0" collapsed="false">
      <c r="A70" s="5" t="s">
        <v>450</v>
      </c>
      <c r="B70" s="5" t="s">
        <v>493</v>
      </c>
      <c r="C70" s="5" t="s">
        <v>452</v>
      </c>
      <c r="D70" s="5" t="s">
        <v>439</v>
      </c>
      <c r="E70" s="5" t="n">
        <v>7</v>
      </c>
      <c r="F70" s="5" t="s">
        <v>500</v>
      </c>
      <c r="G70" s="5" t="s">
        <v>399</v>
      </c>
      <c r="H70" s="5" t="s">
        <v>401</v>
      </c>
      <c r="I70" s="5"/>
      <c r="J70" s="5" t="s">
        <v>265</v>
      </c>
      <c r="K70" s="5" t="s">
        <v>401</v>
      </c>
      <c r="L70" s="5" t="s">
        <v>245</v>
      </c>
      <c r="M70" s="5"/>
      <c r="N70" s="5" t="s">
        <v>235</v>
      </c>
      <c r="O70" s="5" t="s">
        <v>207</v>
      </c>
      <c r="P70" s="5" t="s">
        <v>210</v>
      </c>
      <c r="Q70" s="5"/>
      <c r="R70" s="5"/>
      <c r="S70" s="5"/>
      <c r="T70" s="5" t="s">
        <v>434</v>
      </c>
      <c r="U70" s="5"/>
      <c r="V70" s="5" t="s">
        <v>228</v>
      </c>
      <c r="W70" s="5" t="s">
        <v>422</v>
      </c>
      <c r="X70" s="5" t="s">
        <v>210</v>
      </c>
    </row>
    <row r="71" customFormat="false" ht="23.85" hidden="false" customHeight="false" outlineLevel="0" collapsed="false">
      <c r="A71" s="5" t="s">
        <v>450</v>
      </c>
      <c r="B71" s="5" t="s">
        <v>493</v>
      </c>
      <c r="C71" s="5" t="s">
        <v>452</v>
      </c>
      <c r="D71" s="5" t="s">
        <v>439</v>
      </c>
      <c r="E71" s="5" t="n">
        <v>8</v>
      </c>
      <c r="F71" s="5" t="s">
        <v>501</v>
      </c>
      <c r="G71" s="5" t="s">
        <v>407</v>
      </c>
      <c r="H71" s="5" t="s">
        <v>436</v>
      </c>
      <c r="I71" s="5"/>
      <c r="J71" s="5" t="s">
        <v>409</v>
      </c>
      <c r="K71" s="5"/>
      <c r="L71" s="5" t="s">
        <v>245</v>
      </c>
      <c r="M71" s="5"/>
      <c r="N71" s="5" t="s">
        <v>235</v>
      </c>
      <c r="O71" s="5" t="s">
        <v>207</v>
      </c>
      <c r="P71" s="5" t="s">
        <v>210</v>
      </c>
      <c r="Q71" s="5"/>
      <c r="R71" s="5"/>
      <c r="S71" s="5"/>
      <c r="T71" s="5" t="s">
        <v>437</v>
      </c>
      <c r="U71" s="5"/>
      <c r="V71" s="5" t="s">
        <v>228</v>
      </c>
      <c r="W71" s="5" t="s">
        <v>422</v>
      </c>
      <c r="X71" s="5" t="s">
        <v>210</v>
      </c>
    </row>
    <row r="72" customFormat="false" ht="23.85" hidden="false" customHeight="false" outlineLevel="0" collapsed="false">
      <c r="A72" s="5" t="s">
        <v>502</v>
      </c>
      <c r="B72" s="5" t="s">
        <v>503</v>
      </c>
      <c r="C72" s="5" t="s">
        <v>504</v>
      </c>
      <c r="D72" s="5" t="s">
        <v>505</v>
      </c>
      <c r="E72" s="5" t="n">
        <v>1</v>
      </c>
      <c r="F72" s="5" t="s">
        <v>506</v>
      </c>
      <c r="G72" s="5" t="s">
        <v>507</v>
      </c>
      <c r="H72" s="5" t="s">
        <v>507</v>
      </c>
      <c r="I72" s="5"/>
      <c r="J72" s="5" t="s">
        <v>508</v>
      </c>
      <c r="K72" s="5"/>
      <c r="L72" s="5" t="s">
        <v>210</v>
      </c>
      <c r="M72" s="5"/>
      <c r="N72" s="5" t="s">
        <v>235</v>
      </c>
      <c r="O72" s="5" t="s">
        <v>207</v>
      </c>
      <c r="P72" s="5" t="s">
        <v>210</v>
      </c>
      <c r="Q72" s="5"/>
      <c r="R72" s="5"/>
      <c r="S72" s="5" t="n">
        <v>1</v>
      </c>
      <c r="T72" s="5" t="s">
        <v>509</v>
      </c>
      <c r="U72" s="5" t="s">
        <v>510</v>
      </c>
      <c r="V72" s="5" t="s">
        <v>228</v>
      </c>
      <c r="W72" s="5" t="s">
        <v>511</v>
      </c>
      <c r="X72" s="5" t="s">
        <v>210</v>
      </c>
    </row>
    <row r="73" customFormat="false" ht="35.05" hidden="false" customHeight="false" outlineLevel="0" collapsed="false">
      <c r="A73" s="5" t="s">
        <v>502</v>
      </c>
      <c r="B73" s="5" t="s">
        <v>512</v>
      </c>
      <c r="C73" s="5" t="s">
        <v>504</v>
      </c>
      <c r="D73" s="5" t="s">
        <v>505</v>
      </c>
      <c r="E73" s="5" t="n">
        <v>2</v>
      </c>
      <c r="F73" s="5" t="s">
        <v>513</v>
      </c>
      <c r="G73" s="5" t="s">
        <v>514</v>
      </c>
      <c r="H73" s="5" t="s">
        <v>515</v>
      </c>
      <c r="I73" s="5"/>
      <c r="J73" s="5" t="s">
        <v>244</v>
      </c>
      <c r="K73" s="5"/>
      <c r="L73" s="5" t="s">
        <v>210</v>
      </c>
      <c r="M73" s="5"/>
      <c r="N73" s="5" t="s">
        <v>235</v>
      </c>
      <c r="O73" s="5" t="s">
        <v>207</v>
      </c>
      <c r="P73" s="5" t="s">
        <v>210</v>
      </c>
      <c r="Q73" s="5" t="s">
        <v>516</v>
      </c>
      <c r="R73" s="5" t="s">
        <v>517</v>
      </c>
      <c r="S73" s="5" t="n">
        <v>2</v>
      </c>
      <c r="T73" s="5" t="s">
        <v>518</v>
      </c>
      <c r="U73" s="5" t="s">
        <v>519</v>
      </c>
      <c r="V73" s="5" t="s">
        <v>238</v>
      </c>
      <c r="W73" s="5" t="s">
        <v>520</v>
      </c>
      <c r="X73" s="5" t="s">
        <v>210</v>
      </c>
    </row>
    <row r="74" customFormat="false" ht="35.05" hidden="false" customHeight="false" outlineLevel="0" collapsed="false">
      <c r="A74" s="5" t="s">
        <v>502</v>
      </c>
      <c r="B74" s="5" t="s">
        <v>521</v>
      </c>
      <c r="C74" s="5" t="s">
        <v>504</v>
      </c>
      <c r="D74" s="5" t="s">
        <v>505</v>
      </c>
      <c r="E74" s="5" t="n">
        <v>3</v>
      </c>
      <c r="F74" s="5" t="s">
        <v>522</v>
      </c>
      <c r="G74" s="5" t="s">
        <v>523</v>
      </c>
      <c r="H74" s="5" t="s">
        <v>524</v>
      </c>
      <c r="I74" s="5"/>
      <c r="J74" s="5" t="s">
        <v>283</v>
      </c>
      <c r="K74" s="5"/>
      <c r="L74" s="5" t="s">
        <v>210</v>
      </c>
      <c r="M74" s="5"/>
      <c r="N74" s="5" t="s">
        <v>235</v>
      </c>
      <c r="O74" s="5" t="s">
        <v>207</v>
      </c>
      <c r="P74" s="5" t="s">
        <v>210</v>
      </c>
      <c r="Q74" s="5"/>
      <c r="R74" s="5"/>
      <c r="S74" s="5" t="n">
        <v>4</v>
      </c>
      <c r="T74" s="5" t="s">
        <v>525</v>
      </c>
      <c r="U74" s="5" t="s">
        <v>519</v>
      </c>
      <c r="V74" s="5" t="s">
        <v>238</v>
      </c>
      <c r="W74" s="5" t="s">
        <v>526</v>
      </c>
      <c r="X74" s="5" t="s">
        <v>210</v>
      </c>
    </row>
    <row r="75" customFormat="false" ht="15" hidden="false" customHeight="false" outlineLevel="0" collapsed="false">
      <c r="A75" s="5" t="s">
        <v>502</v>
      </c>
      <c r="B75" s="5" t="s">
        <v>527</v>
      </c>
      <c r="C75" s="5" t="s">
        <v>504</v>
      </c>
      <c r="D75" s="5" t="s">
        <v>505</v>
      </c>
      <c r="E75" s="5" t="n">
        <v>4</v>
      </c>
      <c r="F75" s="5" t="s">
        <v>528</v>
      </c>
      <c r="G75" s="5" t="s">
        <v>529</v>
      </c>
      <c r="H75" s="5" t="s">
        <v>530</v>
      </c>
      <c r="I75" s="5"/>
      <c r="J75" s="5" t="s">
        <v>531</v>
      </c>
      <c r="K75" s="5"/>
      <c r="L75" s="5" t="s">
        <v>210</v>
      </c>
      <c r="M75" s="5"/>
      <c r="N75" s="5" t="s">
        <v>235</v>
      </c>
      <c r="O75" s="5" t="s">
        <v>207</v>
      </c>
      <c r="P75" s="5" t="s">
        <v>210</v>
      </c>
      <c r="Q75" s="5"/>
      <c r="R75" s="5"/>
      <c r="S75" s="5" t="n">
        <v>5</v>
      </c>
      <c r="T75" s="5" t="s">
        <v>532</v>
      </c>
      <c r="U75" s="5"/>
      <c r="V75" s="5" t="s">
        <v>228</v>
      </c>
      <c r="W75" s="5" t="s">
        <v>533</v>
      </c>
      <c r="X75" s="5" t="s">
        <v>210</v>
      </c>
    </row>
    <row r="76" customFormat="false" ht="23.85" hidden="false" customHeight="false" outlineLevel="0" collapsed="false">
      <c r="A76" s="5" t="s">
        <v>502</v>
      </c>
      <c r="B76" s="5" t="s">
        <v>534</v>
      </c>
      <c r="C76" s="5" t="s">
        <v>504</v>
      </c>
      <c r="D76" s="5" t="s">
        <v>505</v>
      </c>
      <c r="E76" s="5" t="n">
        <v>5</v>
      </c>
      <c r="F76" s="5" t="s">
        <v>535</v>
      </c>
      <c r="G76" s="5" t="s">
        <v>536</v>
      </c>
      <c r="H76" s="5" t="s">
        <v>537</v>
      </c>
      <c r="I76" s="5"/>
      <c r="J76" s="5" t="s">
        <v>531</v>
      </c>
      <c r="K76" s="5"/>
      <c r="L76" s="5" t="s">
        <v>210</v>
      </c>
      <c r="M76" s="5"/>
      <c r="N76" s="5" t="s">
        <v>235</v>
      </c>
      <c r="O76" s="5" t="s">
        <v>207</v>
      </c>
      <c r="P76" s="5" t="s">
        <v>210</v>
      </c>
      <c r="Q76" s="5"/>
      <c r="R76" s="5"/>
      <c r="S76" s="5" t="n">
        <v>10</v>
      </c>
      <c r="T76" s="5" t="s">
        <v>538</v>
      </c>
      <c r="U76" s="5"/>
      <c r="V76" s="5" t="s">
        <v>238</v>
      </c>
      <c r="W76" s="5" t="s">
        <v>539</v>
      </c>
      <c r="X76" s="5" t="s">
        <v>210</v>
      </c>
    </row>
    <row r="77" customFormat="false" ht="23.85" hidden="false" customHeight="false" outlineLevel="0" collapsed="false">
      <c r="A77" s="5" t="s">
        <v>502</v>
      </c>
      <c r="B77" s="5" t="s">
        <v>540</v>
      </c>
      <c r="C77" s="5" t="s">
        <v>504</v>
      </c>
      <c r="D77" s="5" t="s">
        <v>505</v>
      </c>
      <c r="E77" s="5" t="n">
        <v>6</v>
      </c>
      <c r="F77" s="5" t="s">
        <v>541</v>
      </c>
      <c r="G77" s="5" t="s">
        <v>542</v>
      </c>
      <c r="H77" s="5" t="s">
        <v>543</v>
      </c>
      <c r="I77" s="5"/>
      <c r="J77" s="5" t="s">
        <v>531</v>
      </c>
      <c r="K77" s="5"/>
      <c r="L77" s="5" t="s">
        <v>207</v>
      </c>
      <c r="M77" s="5"/>
      <c r="N77" s="5" t="s">
        <v>235</v>
      </c>
      <c r="O77" s="5" t="s">
        <v>207</v>
      </c>
      <c r="P77" s="5" t="s">
        <v>210</v>
      </c>
      <c r="Q77" s="5"/>
      <c r="R77" s="5"/>
      <c r="S77" s="5" t="n">
        <v>11</v>
      </c>
      <c r="T77" s="5" t="s">
        <v>544</v>
      </c>
      <c r="U77" s="5" t="s">
        <v>545</v>
      </c>
      <c r="V77" s="5" t="s">
        <v>228</v>
      </c>
      <c r="W77" s="5"/>
      <c r="X77" s="5" t="s">
        <v>210</v>
      </c>
    </row>
    <row r="78" customFormat="false" ht="23.85" hidden="false" customHeight="false" outlineLevel="0" collapsed="false">
      <c r="A78" s="5" t="s">
        <v>502</v>
      </c>
      <c r="B78" s="5" t="s">
        <v>546</v>
      </c>
      <c r="C78" s="5" t="s">
        <v>504</v>
      </c>
      <c r="D78" s="5" t="s">
        <v>547</v>
      </c>
      <c r="E78" s="5" t="n">
        <v>1</v>
      </c>
      <c r="F78" s="5" t="s">
        <v>548</v>
      </c>
      <c r="G78" s="5" t="s">
        <v>549</v>
      </c>
      <c r="H78" s="5" t="s">
        <v>550</v>
      </c>
      <c r="I78" s="5"/>
      <c r="J78" s="5" t="s">
        <v>551</v>
      </c>
      <c r="K78" s="5" t="s">
        <v>552</v>
      </c>
      <c r="L78" s="5" t="s">
        <v>210</v>
      </c>
      <c r="M78" s="5" t="s">
        <v>553</v>
      </c>
      <c r="N78" s="5" t="s">
        <v>226</v>
      </c>
      <c r="O78" s="5" t="s">
        <v>207</v>
      </c>
      <c r="P78" s="5" t="s">
        <v>210</v>
      </c>
      <c r="Q78" s="5"/>
      <c r="R78" s="5"/>
      <c r="S78" s="5" t="n">
        <v>12</v>
      </c>
      <c r="T78" s="5" t="s">
        <v>554</v>
      </c>
      <c r="U78" s="5" t="s">
        <v>519</v>
      </c>
      <c r="V78" s="5" t="s">
        <v>238</v>
      </c>
      <c r="W78" s="5" t="s">
        <v>555</v>
      </c>
      <c r="X78" s="5" t="s">
        <v>210</v>
      </c>
    </row>
    <row r="79" customFormat="false" ht="23.85" hidden="false" customHeight="false" outlineLevel="0" collapsed="false">
      <c r="A79" s="5" t="s">
        <v>502</v>
      </c>
      <c r="B79" s="5" t="s">
        <v>556</v>
      </c>
      <c r="C79" s="5" t="s">
        <v>504</v>
      </c>
      <c r="D79" s="5" t="s">
        <v>547</v>
      </c>
      <c r="E79" s="5" t="n">
        <v>2</v>
      </c>
      <c r="F79" s="5" t="s">
        <v>557</v>
      </c>
      <c r="G79" s="5" t="s">
        <v>558</v>
      </c>
      <c r="H79" s="5" t="s">
        <v>558</v>
      </c>
      <c r="I79" s="5"/>
      <c r="J79" s="5" t="s">
        <v>244</v>
      </c>
      <c r="K79" s="5"/>
      <c r="L79" s="5" t="s">
        <v>245</v>
      </c>
      <c r="M79" s="5"/>
      <c r="N79" s="5" t="s">
        <v>235</v>
      </c>
      <c r="O79" s="5" t="s">
        <v>207</v>
      </c>
      <c r="P79" s="5" t="s">
        <v>210</v>
      </c>
      <c r="Q79" s="5"/>
      <c r="R79" s="5"/>
      <c r="S79" s="5" t="n">
        <v>13</v>
      </c>
      <c r="T79" s="5" t="s">
        <v>559</v>
      </c>
      <c r="U79" s="5"/>
      <c r="V79" s="5" t="s">
        <v>228</v>
      </c>
      <c r="W79" s="5" t="s">
        <v>422</v>
      </c>
      <c r="X79" s="5" t="s">
        <v>210</v>
      </c>
    </row>
    <row r="80" customFormat="false" ht="23.85" hidden="false" customHeight="false" outlineLevel="0" collapsed="false">
      <c r="A80" s="5" t="s">
        <v>502</v>
      </c>
      <c r="B80" s="5" t="s">
        <v>560</v>
      </c>
      <c r="C80" s="5" t="s">
        <v>504</v>
      </c>
      <c r="D80" s="5" t="s">
        <v>561</v>
      </c>
      <c r="E80" s="5" t="n">
        <v>1</v>
      </c>
      <c r="F80" s="5" t="s">
        <v>562</v>
      </c>
      <c r="G80" s="5" t="s">
        <v>563</v>
      </c>
      <c r="H80" s="5" t="s">
        <v>564</v>
      </c>
      <c r="I80" s="5"/>
      <c r="J80" s="5" t="s">
        <v>206</v>
      </c>
      <c r="K80" s="5" t="s">
        <v>565</v>
      </c>
      <c r="L80" s="5" t="s">
        <v>210</v>
      </c>
      <c r="M80" s="5"/>
      <c r="N80" s="5" t="s">
        <v>235</v>
      </c>
      <c r="O80" s="5" t="s">
        <v>207</v>
      </c>
      <c r="P80" s="5" t="s">
        <v>210</v>
      </c>
      <c r="Q80" s="5" t="s">
        <v>566</v>
      </c>
      <c r="R80" s="5" t="s">
        <v>567</v>
      </c>
      <c r="S80" s="5" t="n">
        <v>7</v>
      </c>
      <c r="T80" s="5" t="s">
        <v>568</v>
      </c>
      <c r="U80" s="5"/>
      <c r="V80" s="5" t="s">
        <v>238</v>
      </c>
      <c r="W80" s="5" t="s">
        <v>569</v>
      </c>
      <c r="X80" s="5" t="s">
        <v>210</v>
      </c>
    </row>
    <row r="81" customFormat="false" ht="23.85" hidden="false" customHeight="false" outlineLevel="0" collapsed="false">
      <c r="A81" s="5" t="s">
        <v>502</v>
      </c>
      <c r="B81" s="5" t="s">
        <v>570</v>
      </c>
      <c r="C81" s="5" t="s">
        <v>504</v>
      </c>
      <c r="D81" s="5" t="s">
        <v>561</v>
      </c>
      <c r="E81" s="5" t="n">
        <v>2</v>
      </c>
      <c r="F81" s="5" t="s">
        <v>571</v>
      </c>
      <c r="G81" s="5" t="s">
        <v>572</v>
      </c>
      <c r="H81" s="5" t="s">
        <v>573</v>
      </c>
      <c r="I81" s="5"/>
      <c r="J81" s="5" t="s">
        <v>206</v>
      </c>
      <c r="K81" s="5" t="s">
        <v>574</v>
      </c>
      <c r="L81" s="5" t="s">
        <v>207</v>
      </c>
      <c r="M81" s="5"/>
      <c r="N81" s="5" t="s">
        <v>226</v>
      </c>
      <c r="O81" s="5" t="s">
        <v>207</v>
      </c>
      <c r="P81" s="5" t="s">
        <v>210</v>
      </c>
      <c r="Q81" s="5"/>
      <c r="R81" s="5"/>
      <c r="S81" s="5" t="n">
        <v>8</v>
      </c>
      <c r="T81" s="5" t="s">
        <v>575</v>
      </c>
      <c r="U81" s="5"/>
      <c r="V81" s="5" t="s">
        <v>238</v>
      </c>
      <c r="W81" s="5" t="s">
        <v>576</v>
      </c>
      <c r="X81" s="5" t="s">
        <v>210</v>
      </c>
    </row>
    <row r="82" customFormat="false" ht="15" hidden="false" customHeight="false" outlineLevel="0" collapsed="false">
      <c r="A82" s="5" t="s">
        <v>502</v>
      </c>
      <c r="B82" s="5" t="s">
        <v>577</v>
      </c>
      <c r="C82" s="5" t="s">
        <v>504</v>
      </c>
      <c r="D82" s="5" t="s">
        <v>561</v>
      </c>
      <c r="E82" s="5" t="n">
        <v>3</v>
      </c>
      <c r="F82" s="5" t="s">
        <v>578</v>
      </c>
      <c r="G82" s="5" t="s">
        <v>579</v>
      </c>
      <c r="H82" s="5" t="s">
        <v>580</v>
      </c>
      <c r="I82" s="5"/>
      <c r="J82" s="5" t="s">
        <v>206</v>
      </c>
      <c r="K82" s="5" t="s">
        <v>581</v>
      </c>
      <c r="L82" s="5" t="s">
        <v>210</v>
      </c>
      <c r="M82" s="5" t="s">
        <v>582</v>
      </c>
      <c r="N82" s="5" t="s">
        <v>226</v>
      </c>
      <c r="O82" s="5" t="s">
        <v>207</v>
      </c>
      <c r="P82" s="5" t="s">
        <v>210</v>
      </c>
      <c r="Q82" s="5" t="s">
        <v>583</v>
      </c>
      <c r="R82" s="5" t="s">
        <v>584</v>
      </c>
      <c r="S82" s="5" t="n">
        <v>9</v>
      </c>
      <c r="T82" s="5" t="s">
        <v>585</v>
      </c>
      <c r="U82" s="5" t="s">
        <v>519</v>
      </c>
      <c r="V82" s="5" t="s">
        <v>238</v>
      </c>
      <c r="W82" s="5"/>
      <c r="X82" s="5" t="s">
        <v>210</v>
      </c>
    </row>
    <row r="83" customFormat="false" ht="23.85" hidden="false" customHeight="false" outlineLevel="0" collapsed="false">
      <c r="A83" s="5" t="s">
        <v>502</v>
      </c>
      <c r="B83" s="5" t="s">
        <v>586</v>
      </c>
      <c r="C83" s="5" t="s">
        <v>504</v>
      </c>
      <c r="D83" s="5" t="s">
        <v>561</v>
      </c>
      <c r="E83" s="5" t="n">
        <v>4</v>
      </c>
      <c r="F83" s="5" t="s">
        <v>587</v>
      </c>
      <c r="G83" s="5" t="s">
        <v>588</v>
      </c>
      <c r="H83" s="5" t="s">
        <v>589</v>
      </c>
      <c r="I83" s="5"/>
      <c r="J83" s="5" t="s">
        <v>265</v>
      </c>
      <c r="K83" s="5" t="s">
        <v>401</v>
      </c>
      <c r="L83" s="5" t="s">
        <v>210</v>
      </c>
      <c r="M83" s="5" t="s">
        <v>402</v>
      </c>
      <c r="N83" s="5" t="s">
        <v>209</v>
      </c>
      <c r="O83" s="5" t="s">
        <v>210</v>
      </c>
      <c r="P83" s="5" t="s">
        <v>210</v>
      </c>
      <c r="Q83" s="5"/>
      <c r="R83" s="5"/>
      <c r="S83" s="5" t="n">
        <v>6</v>
      </c>
      <c r="T83" s="5" t="s">
        <v>590</v>
      </c>
      <c r="U83" s="5" t="s">
        <v>209</v>
      </c>
      <c r="V83" s="5" t="s">
        <v>238</v>
      </c>
      <c r="W83" s="5" t="s">
        <v>591</v>
      </c>
      <c r="X83" s="5" t="s">
        <v>210</v>
      </c>
    </row>
    <row r="84" customFormat="false" ht="57.45" hidden="false" customHeight="false" outlineLevel="0" collapsed="false">
      <c r="A84" s="5" t="s">
        <v>502</v>
      </c>
      <c r="B84" s="5" t="s">
        <v>592</v>
      </c>
      <c r="C84" s="5" t="s">
        <v>504</v>
      </c>
      <c r="D84" s="5" t="s">
        <v>593</v>
      </c>
      <c r="E84" s="5" t="n">
        <v>1</v>
      </c>
      <c r="F84" s="5" t="s">
        <v>594</v>
      </c>
      <c r="G84" s="5" t="s">
        <v>595</v>
      </c>
      <c r="H84" s="5" t="s">
        <v>596</v>
      </c>
      <c r="I84" s="5"/>
      <c r="J84" s="5" t="s">
        <v>290</v>
      </c>
      <c r="K84" s="5"/>
      <c r="L84" s="5" t="s">
        <v>210</v>
      </c>
      <c r="M84" s="5"/>
      <c r="N84" s="5" t="s">
        <v>235</v>
      </c>
      <c r="O84" s="5" t="s">
        <v>207</v>
      </c>
      <c r="P84" s="5" t="s">
        <v>210</v>
      </c>
      <c r="Q84" s="5"/>
      <c r="R84" s="5"/>
      <c r="S84" s="5" t="n">
        <v>14</v>
      </c>
      <c r="T84" s="5" t="s">
        <v>597</v>
      </c>
      <c r="U84" s="5" t="s">
        <v>519</v>
      </c>
      <c r="V84" s="5" t="s">
        <v>212</v>
      </c>
      <c r="W84" s="5" t="s">
        <v>598</v>
      </c>
      <c r="X84" s="5" t="s">
        <v>210</v>
      </c>
    </row>
    <row r="85" customFormat="false" ht="57.45" hidden="false" customHeight="false" outlineLevel="0" collapsed="false">
      <c r="A85" s="5" t="s">
        <v>502</v>
      </c>
      <c r="B85" s="5" t="s">
        <v>599</v>
      </c>
      <c r="C85" s="5" t="s">
        <v>504</v>
      </c>
      <c r="D85" s="5" t="s">
        <v>593</v>
      </c>
      <c r="E85" s="5" t="n">
        <v>2</v>
      </c>
      <c r="F85" s="5" t="s">
        <v>600</v>
      </c>
      <c r="G85" s="5" t="s">
        <v>601</v>
      </c>
      <c r="H85" s="5" t="s">
        <v>602</v>
      </c>
      <c r="I85" s="5"/>
      <c r="J85" s="5" t="s">
        <v>346</v>
      </c>
      <c r="K85" s="5"/>
      <c r="L85" s="5" t="s">
        <v>245</v>
      </c>
      <c r="M85" s="5"/>
      <c r="N85" s="5" t="s">
        <v>235</v>
      </c>
      <c r="O85" s="5" t="s">
        <v>207</v>
      </c>
      <c r="P85" s="5" t="s">
        <v>210</v>
      </c>
      <c r="Q85" s="5"/>
      <c r="R85" s="5"/>
      <c r="S85" s="5" t="n">
        <v>15</v>
      </c>
      <c r="T85" s="5" t="s">
        <v>603</v>
      </c>
      <c r="U85" s="5"/>
      <c r="V85" s="5" t="s">
        <v>277</v>
      </c>
      <c r="W85" s="5" t="s">
        <v>604</v>
      </c>
      <c r="X85" s="5" t="s">
        <v>210</v>
      </c>
    </row>
    <row r="86" customFormat="false" ht="23.85" hidden="false" customHeight="false" outlineLevel="0" collapsed="false">
      <c r="A86" s="5" t="s">
        <v>605</v>
      </c>
      <c r="B86" s="5" t="s">
        <v>606</v>
      </c>
      <c r="C86" s="5" t="s">
        <v>607</v>
      </c>
      <c r="D86" s="5" t="s">
        <v>608</v>
      </c>
      <c r="E86" s="5" t="n">
        <v>1</v>
      </c>
      <c r="F86" s="5" t="s">
        <v>609</v>
      </c>
      <c r="G86" s="5" t="s">
        <v>610</v>
      </c>
      <c r="H86" s="5" t="s">
        <v>611</v>
      </c>
      <c r="I86" s="5"/>
      <c r="J86" s="5" t="s">
        <v>206</v>
      </c>
      <c r="K86" s="5" t="s">
        <v>612</v>
      </c>
      <c r="L86" s="5" t="s">
        <v>210</v>
      </c>
      <c r="M86" s="5" t="s">
        <v>613</v>
      </c>
      <c r="N86" s="5" t="s">
        <v>226</v>
      </c>
      <c r="O86" s="5" t="s">
        <v>207</v>
      </c>
      <c r="P86" s="5" t="s">
        <v>210</v>
      </c>
      <c r="Q86" s="5"/>
      <c r="R86" s="5"/>
      <c r="S86" s="5"/>
      <c r="T86" s="5" t="s">
        <v>614</v>
      </c>
      <c r="U86" s="5"/>
      <c r="V86" s="5" t="s">
        <v>238</v>
      </c>
      <c r="W86" s="5" t="s">
        <v>615</v>
      </c>
      <c r="X86" s="5" t="s">
        <v>210</v>
      </c>
    </row>
    <row r="87" customFormat="false" ht="68.65" hidden="false" customHeight="false" outlineLevel="0" collapsed="false">
      <c r="A87" s="5" t="s">
        <v>605</v>
      </c>
      <c r="B87" s="5" t="s">
        <v>616</v>
      </c>
      <c r="C87" s="5" t="s">
        <v>607</v>
      </c>
      <c r="D87" s="5" t="s">
        <v>617</v>
      </c>
      <c r="E87" s="5" t="n">
        <v>1</v>
      </c>
      <c r="F87" s="5" t="s">
        <v>618</v>
      </c>
      <c r="G87" s="5" t="s">
        <v>619</v>
      </c>
      <c r="H87" s="5" t="s">
        <v>619</v>
      </c>
      <c r="I87" s="5"/>
      <c r="J87" s="5" t="s">
        <v>224</v>
      </c>
      <c r="K87" s="5" t="s">
        <v>225</v>
      </c>
      <c r="L87" s="5" t="s">
        <v>210</v>
      </c>
      <c r="M87" s="5" t="s">
        <v>207</v>
      </c>
      <c r="N87" s="5" t="s">
        <v>226</v>
      </c>
      <c r="O87" s="5" t="s">
        <v>207</v>
      </c>
      <c r="P87" s="5" t="s">
        <v>210</v>
      </c>
      <c r="Q87" s="5"/>
      <c r="R87" s="5"/>
      <c r="S87" s="5"/>
      <c r="T87" s="5" t="s">
        <v>620</v>
      </c>
      <c r="U87" s="5"/>
      <c r="V87" s="5" t="s">
        <v>238</v>
      </c>
      <c r="W87" s="5" t="s">
        <v>621</v>
      </c>
      <c r="X87" s="5" t="s">
        <v>210</v>
      </c>
    </row>
    <row r="88" customFormat="false" ht="102.2" hidden="false" customHeight="false" outlineLevel="0" collapsed="false">
      <c r="A88" s="5" t="s">
        <v>605</v>
      </c>
      <c r="B88" s="5" t="s">
        <v>622</v>
      </c>
      <c r="C88" s="5" t="s">
        <v>607</v>
      </c>
      <c r="D88" s="5" t="s">
        <v>617</v>
      </c>
      <c r="E88" s="5" t="n">
        <v>2</v>
      </c>
      <c r="F88" s="5" t="s">
        <v>623</v>
      </c>
      <c r="G88" s="5" t="s">
        <v>624</v>
      </c>
      <c r="H88" s="5" t="s">
        <v>625</v>
      </c>
      <c r="I88" s="5"/>
      <c r="J88" s="5" t="s">
        <v>346</v>
      </c>
      <c r="K88" s="5"/>
      <c r="L88" s="5" t="s">
        <v>210</v>
      </c>
      <c r="M88" s="5"/>
      <c r="N88" s="5" t="s">
        <v>235</v>
      </c>
      <c r="O88" s="5" t="s">
        <v>207</v>
      </c>
      <c r="P88" s="5" t="s">
        <v>210</v>
      </c>
      <c r="Q88" s="5"/>
      <c r="R88" s="5"/>
      <c r="S88" s="5"/>
      <c r="T88" s="5" t="s">
        <v>626</v>
      </c>
      <c r="U88" s="5"/>
      <c r="V88" s="5" t="s">
        <v>277</v>
      </c>
      <c r="W88" s="5" t="s">
        <v>627</v>
      </c>
      <c r="X88" s="5" t="s">
        <v>210</v>
      </c>
    </row>
    <row r="89" customFormat="false" ht="35.05" hidden="false" customHeight="false" outlineLevel="0" collapsed="false">
      <c r="A89" s="5" t="s">
        <v>605</v>
      </c>
      <c r="B89" s="5" t="s">
        <v>628</v>
      </c>
      <c r="C89" s="5" t="s">
        <v>607</v>
      </c>
      <c r="D89" s="5" t="s">
        <v>629</v>
      </c>
      <c r="E89" s="5" t="n">
        <v>1</v>
      </c>
      <c r="F89" s="5" t="s">
        <v>630</v>
      </c>
      <c r="G89" s="5" t="s">
        <v>631</v>
      </c>
      <c r="H89" s="5" t="s">
        <v>632</v>
      </c>
      <c r="I89" s="5"/>
      <c r="J89" s="5" t="s">
        <v>290</v>
      </c>
      <c r="K89" s="5"/>
      <c r="L89" s="5" t="s">
        <v>207</v>
      </c>
      <c r="M89" s="5"/>
      <c r="N89" s="5" t="s">
        <v>235</v>
      </c>
      <c r="O89" s="5" t="s">
        <v>207</v>
      </c>
      <c r="P89" s="5" t="s">
        <v>210</v>
      </c>
      <c r="Q89" s="5"/>
      <c r="R89" s="5"/>
      <c r="S89" s="5"/>
      <c r="T89" s="5" t="s">
        <v>633</v>
      </c>
      <c r="U89" s="5"/>
      <c r="V89" s="5" t="s">
        <v>212</v>
      </c>
      <c r="W89" s="5" t="s">
        <v>634</v>
      </c>
      <c r="X89" s="5" t="s">
        <v>210</v>
      </c>
    </row>
    <row r="90" customFormat="false" ht="35.05" hidden="false" customHeight="false" outlineLevel="0" collapsed="false">
      <c r="A90" s="6" t="s">
        <v>218</v>
      </c>
      <c r="B90" s="6" t="s">
        <v>635</v>
      </c>
      <c r="C90" s="6" t="s">
        <v>169</v>
      </c>
      <c r="D90" s="6" t="s">
        <v>636</v>
      </c>
      <c r="E90" s="6"/>
      <c r="F90" s="6" t="s">
        <v>637</v>
      </c>
      <c r="G90" s="6"/>
      <c r="H90" s="6" t="s">
        <v>638</v>
      </c>
      <c r="I90" s="6"/>
      <c r="J90" s="6" t="s">
        <v>224</v>
      </c>
      <c r="K90" s="6"/>
      <c r="L90" s="6" t="s">
        <v>639</v>
      </c>
      <c r="M90" s="6"/>
      <c r="N90" s="6"/>
      <c r="O90" s="6"/>
      <c r="P90" s="6"/>
      <c r="Q90" s="6"/>
      <c r="R90" s="6"/>
      <c r="S90" s="6"/>
      <c r="T90" s="6"/>
      <c r="U90" s="6"/>
      <c r="V90" s="6" t="s">
        <v>640</v>
      </c>
      <c r="W90" s="6" t="s">
        <v>641</v>
      </c>
      <c r="X90" s="6" t="s">
        <v>207</v>
      </c>
    </row>
    <row r="91" customFormat="false" ht="23.85" hidden="false" customHeight="false" outlineLevel="0" collapsed="false">
      <c r="A91" s="6" t="s">
        <v>218</v>
      </c>
      <c r="B91" s="6" t="s">
        <v>642</v>
      </c>
      <c r="C91" s="6" t="s">
        <v>169</v>
      </c>
      <c r="D91" s="6" t="s">
        <v>636</v>
      </c>
      <c r="E91" s="6"/>
      <c r="F91" s="6" t="s">
        <v>637</v>
      </c>
      <c r="G91" s="6"/>
      <c r="H91" s="6" t="s">
        <v>643</v>
      </c>
      <c r="I91" s="6"/>
      <c r="J91" s="6" t="s">
        <v>224</v>
      </c>
      <c r="K91" s="6"/>
      <c r="L91" s="6" t="s">
        <v>639</v>
      </c>
      <c r="M91" s="6"/>
      <c r="N91" s="6"/>
      <c r="O91" s="6"/>
      <c r="P91" s="6"/>
      <c r="Q91" s="6"/>
      <c r="R91" s="6"/>
      <c r="S91" s="6"/>
      <c r="T91" s="6"/>
      <c r="U91" s="6"/>
      <c r="V91" s="6" t="s">
        <v>640</v>
      </c>
      <c r="W91" s="6" t="s">
        <v>644</v>
      </c>
      <c r="X91" s="6" t="s">
        <v>207</v>
      </c>
    </row>
    <row r="92" customFormat="false" ht="35.05" hidden="false" customHeight="false" outlineLevel="0" collapsed="false">
      <c r="A92" s="6" t="s">
        <v>325</v>
      </c>
      <c r="B92" s="6" t="s">
        <v>645</v>
      </c>
      <c r="C92" s="6" t="s">
        <v>169</v>
      </c>
      <c r="D92" s="6" t="s">
        <v>646</v>
      </c>
      <c r="E92" s="6"/>
      <c r="F92" s="6" t="s">
        <v>647</v>
      </c>
      <c r="G92" s="6"/>
      <c r="H92" s="6" t="s">
        <v>648</v>
      </c>
      <c r="I92" s="6"/>
      <c r="J92" s="6" t="s">
        <v>649</v>
      </c>
      <c r="K92" s="6" t="s">
        <v>650</v>
      </c>
      <c r="L92" s="6" t="s">
        <v>651</v>
      </c>
      <c r="M92" s="6"/>
      <c r="N92" s="6"/>
      <c r="O92" s="6"/>
      <c r="P92" s="6"/>
      <c r="Q92" s="6"/>
      <c r="R92" s="6"/>
      <c r="S92" s="6"/>
      <c r="T92" s="6" t="s">
        <v>652</v>
      </c>
      <c r="U92" s="6" t="s">
        <v>653</v>
      </c>
      <c r="V92" s="6" t="s">
        <v>238</v>
      </c>
      <c r="W92" s="6" t="s">
        <v>654</v>
      </c>
      <c r="X92" s="6" t="s">
        <v>207</v>
      </c>
    </row>
    <row r="93" customFormat="false" ht="35.05" hidden="false" customHeight="false" outlineLevel="0" collapsed="false">
      <c r="A93" s="6" t="s">
        <v>502</v>
      </c>
      <c r="B93" s="6" t="s">
        <v>655</v>
      </c>
      <c r="C93" s="6" t="s">
        <v>169</v>
      </c>
      <c r="D93" s="6" t="s">
        <v>505</v>
      </c>
      <c r="E93" s="6"/>
      <c r="F93" s="6" t="s">
        <v>656</v>
      </c>
      <c r="G93" s="6"/>
      <c r="H93" s="6" t="s">
        <v>657</v>
      </c>
      <c r="I93" s="6"/>
      <c r="J93" s="6" t="s">
        <v>658</v>
      </c>
      <c r="K93" s="6" t="s">
        <v>659</v>
      </c>
      <c r="L93" s="6" t="s">
        <v>660</v>
      </c>
      <c r="M93" s="6"/>
      <c r="N93" s="6"/>
      <c r="O93" s="6"/>
      <c r="P93" s="6"/>
      <c r="Q93" s="6"/>
      <c r="R93" s="6"/>
      <c r="S93" s="6" t="n">
        <v>3</v>
      </c>
      <c r="T93" s="6" t="s">
        <v>661</v>
      </c>
      <c r="U93" s="6" t="s">
        <v>662</v>
      </c>
      <c r="V93" s="6" t="s">
        <v>277</v>
      </c>
      <c r="W93" s="6" t="s">
        <v>663</v>
      </c>
      <c r="X93" s="6" t="s">
        <v>207</v>
      </c>
    </row>
    <row r="94" customFormat="false" ht="46.25" hidden="false" customHeight="false" outlineLevel="0" collapsed="false">
      <c r="A94" s="6" t="s">
        <v>502</v>
      </c>
      <c r="B94" s="6" t="s">
        <v>664</v>
      </c>
      <c r="C94" s="6" t="s">
        <v>169</v>
      </c>
      <c r="D94" s="6" t="s">
        <v>665</v>
      </c>
      <c r="E94" s="6"/>
      <c r="F94" s="6" t="s">
        <v>666</v>
      </c>
      <c r="G94" s="6"/>
      <c r="H94" s="6" t="s">
        <v>667</v>
      </c>
      <c r="I94" s="6"/>
      <c r="J94" s="6" t="s">
        <v>668</v>
      </c>
      <c r="K94" s="6"/>
      <c r="L94" s="6" t="s">
        <v>639</v>
      </c>
      <c r="M94" s="6"/>
      <c r="N94" s="6"/>
      <c r="O94" s="6"/>
      <c r="P94" s="6"/>
      <c r="Q94" s="6"/>
      <c r="R94" s="6"/>
      <c r="S94" s="6"/>
      <c r="T94" s="6" t="s">
        <v>669</v>
      </c>
      <c r="U94" s="6"/>
      <c r="V94" s="6" t="s">
        <v>277</v>
      </c>
      <c r="W94" s="6" t="s">
        <v>670</v>
      </c>
      <c r="X94" s="6" t="s">
        <v>207</v>
      </c>
    </row>
    <row r="95" customFormat="false" ht="35.05" hidden="false" customHeight="false" outlineLevel="0" collapsed="false">
      <c r="A95" s="6" t="s">
        <v>605</v>
      </c>
      <c r="B95" s="6" t="s">
        <v>671</v>
      </c>
      <c r="C95" s="6" t="s">
        <v>169</v>
      </c>
      <c r="D95" s="6" t="s">
        <v>617</v>
      </c>
      <c r="E95" s="6"/>
      <c r="F95" s="6" t="s">
        <v>672</v>
      </c>
      <c r="G95" s="6"/>
      <c r="H95" s="6" t="s">
        <v>673</v>
      </c>
      <c r="I95" s="6"/>
      <c r="J95" s="6" t="s">
        <v>674</v>
      </c>
      <c r="K95" s="6"/>
      <c r="L95" s="6" t="s">
        <v>639</v>
      </c>
      <c r="M95" s="6" t="s">
        <v>675</v>
      </c>
      <c r="N95" s="6"/>
      <c r="O95" s="6"/>
      <c r="P95" s="6"/>
      <c r="Q95" s="6"/>
      <c r="R95" s="6"/>
      <c r="S95" s="6"/>
      <c r="T95" s="6"/>
      <c r="U95" s="6" t="s">
        <v>353</v>
      </c>
      <c r="V95" s="6" t="s">
        <v>238</v>
      </c>
      <c r="W95" s="6" t="s">
        <v>676</v>
      </c>
      <c r="X95" s="6" t="s">
        <v>207</v>
      </c>
    </row>
    <row r="96" customFormat="false" ht="35.05" hidden="false" customHeight="false" outlineLevel="0" collapsed="false">
      <c r="A96" s="6" t="s">
        <v>605</v>
      </c>
      <c r="B96" s="6" t="s">
        <v>671</v>
      </c>
      <c r="C96" s="6" t="s">
        <v>169</v>
      </c>
      <c r="D96" s="6" t="s">
        <v>617</v>
      </c>
      <c r="E96" s="6"/>
      <c r="F96" s="6" t="s">
        <v>672</v>
      </c>
      <c r="G96" s="6"/>
      <c r="H96" s="6" t="s">
        <v>677</v>
      </c>
      <c r="I96" s="6"/>
      <c r="J96" s="6" t="s">
        <v>674</v>
      </c>
      <c r="K96" s="6"/>
      <c r="L96" s="6" t="s">
        <v>639</v>
      </c>
      <c r="M96" s="6" t="s">
        <v>675</v>
      </c>
      <c r="N96" s="6"/>
      <c r="O96" s="6"/>
      <c r="P96" s="6"/>
      <c r="Q96" s="6"/>
      <c r="R96" s="6"/>
      <c r="S96" s="6"/>
      <c r="T96" s="6"/>
      <c r="U96" s="6"/>
      <c r="V96" s="6" t="s">
        <v>228</v>
      </c>
      <c r="W96" s="6" t="s">
        <v>678</v>
      </c>
      <c r="X96" s="6" t="s">
        <v>207</v>
      </c>
    </row>
    <row r="97" customFormat="false" ht="23.85" hidden="false" customHeight="false" outlineLevel="0" collapsed="false">
      <c r="A97" s="6" t="s">
        <v>679</v>
      </c>
      <c r="B97" s="6" t="s">
        <v>680</v>
      </c>
      <c r="C97" s="6" t="s">
        <v>169</v>
      </c>
      <c r="D97" s="6" t="s">
        <v>681</v>
      </c>
      <c r="E97" s="6"/>
      <c r="F97" s="6" t="s">
        <v>666</v>
      </c>
      <c r="G97" s="6"/>
      <c r="H97" s="6" t="s">
        <v>682</v>
      </c>
      <c r="I97" s="6"/>
      <c r="J97" s="6" t="s">
        <v>683</v>
      </c>
      <c r="K97" s="6"/>
      <c r="L97" s="6" t="s">
        <v>639</v>
      </c>
      <c r="M97" s="6"/>
      <c r="N97" s="6"/>
      <c r="O97" s="6"/>
      <c r="P97" s="6"/>
      <c r="Q97" s="6"/>
      <c r="R97" s="6"/>
      <c r="S97" s="6"/>
      <c r="T97" s="6" t="s">
        <v>684</v>
      </c>
      <c r="U97" s="6"/>
      <c r="V97" s="6" t="s">
        <v>238</v>
      </c>
      <c r="W97" s="6" t="s">
        <v>685</v>
      </c>
      <c r="X97" s="6" t="s">
        <v>207</v>
      </c>
    </row>
    <row r="98" customFormat="false" ht="23.85" hidden="false" customHeight="false" outlineLevel="0" collapsed="false">
      <c r="A98" s="6" t="s">
        <v>686</v>
      </c>
      <c r="B98" s="6" t="s">
        <v>687</v>
      </c>
      <c r="C98" s="6" t="s">
        <v>169</v>
      </c>
      <c r="D98" s="6" t="s">
        <v>688</v>
      </c>
      <c r="E98" s="6"/>
      <c r="F98" s="6" t="s">
        <v>689</v>
      </c>
      <c r="G98" s="6"/>
      <c r="H98" s="6" t="s">
        <v>690</v>
      </c>
      <c r="I98" s="6"/>
      <c r="J98" s="6" t="s">
        <v>691</v>
      </c>
      <c r="K98" s="6"/>
      <c r="L98" s="6" t="s">
        <v>639</v>
      </c>
      <c r="M98" s="6"/>
      <c r="N98" s="6"/>
      <c r="O98" s="6"/>
      <c r="P98" s="6"/>
      <c r="Q98" s="6"/>
      <c r="R98" s="6"/>
      <c r="S98" s="6"/>
      <c r="T98" s="6" t="s">
        <v>692</v>
      </c>
      <c r="U98" s="6"/>
      <c r="V98" s="6" t="s">
        <v>277</v>
      </c>
      <c r="W98" s="6" t="s">
        <v>693</v>
      </c>
      <c r="X98" s="6" t="s">
        <v>207</v>
      </c>
    </row>
    <row r="99" customFormat="false" ht="23.85" hidden="false" customHeight="false" outlineLevel="0" collapsed="false">
      <c r="A99" s="6" t="s">
        <v>686</v>
      </c>
      <c r="B99" s="6" t="s">
        <v>694</v>
      </c>
      <c r="C99" s="6" t="s">
        <v>169</v>
      </c>
      <c r="D99" s="6" t="s">
        <v>695</v>
      </c>
      <c r="E99" s="6"/>
      <c r="F99" s="6" t="s">
        <v>696</v>
      </c>
      <c r="G99" s="6"/>
      <c r="H99" s="6" t="s">
        <v>697</v>
      </c>
      <c r="I99" s="6"/>
      <c r="J99" s="6" t="s">
        <v>244</v>
      </c>
      <c r="K99" s="6"/>
      <c r="L99" s="6" t="s">
        <v>698</v>
      </c>
      <c r="M99" s="6"/>
      <c r="N99" s="6"/>
      <c r="O99" s="6"/>
      <c r="P99" s="6"/>
      <c r="Q99" s="6"/>
      <c r="R99" s="6"/>
      <c r="S99" s="6"/>
      <c r="T99" s="6" t="s">
        <v>699</v>
      </c>
      <c r="U99" s="6"/>
      <c r="V99" s="6" t="s">
        <v>238</v>
      </c>
      <c r="W99" s="6" t="s">
        <v>700</v>
      </c>
      <c r="X99" s="6" t="s">
        <v>207</v>
      </c>
    </row>
    <row r="100" customFormat="false" ht="23.85" hidden="false" customHeight="false" outlineLevel="0" collapsed="false">
      <c r="A100" s="6" t="s">
        <v>686</v>
      </c>
      <c r="B100" s="6" t="s">
        <v>701</v>
      </c>
      <c r="C100" s="6" t="s">
        <v>169</v>
      </c>
      <c r="D100" s="6" t="s">
        <v>695</v>
      </c>
      <c r="E100" s="6"/>
      <c r="F100" s="6" t="s">
        <v>702</v>
      </c>
      <c r="G100" s="6"/>
      <c r="H100" s="6" t="s">
        <v>703</v>
      </c>
      <c r="I100" s="6"/>
      <c r="J100" s="6" t="s">
        <v>290</v>
      </c>
      <c r="K100" s="6"/>
      <c r="L100" s="6" t="s">
        <v>698</v>
      </c>
      <c r="M100" s="6"/>
      <c r="N100" s="6"/>
      <c r="O100" s="6"/>
      <c r="P100" s="6"/>
      <c r="Q100" s="6"/>
      <c r="R100" s="6"/>
      <c r="S100" s="6"/>
      <c r="T100" s="6" t="s">
        <v>704</v>
      </c>
      <c r="U100" s="6"/>
      <c r="V100" s="6" t="s">
        <v>238</v>
      </c>
      <c r="W100" s="6" t="s">
        <v>705</v>
      </c>
      <c r="X100" s="6" t="s">
        <v>207</v>
      </c>
    </row>
    <row r="101" customFormat="false" ht="23.85" hidden="false" customHeight="false" outlineLevel="0" collapsed="false">
      <c r="A101" s="6" t="s">
        <v>686</v>
      </c>
      <c r="B101" s="6" t="s">
        <v>694</v>
      </c>
      <c r="C101" s="6" t="s">
        <v>169</v>
      </c>
      <c r="D101" s="6" t="s">
        <v>695</v>
      </c>
      <c r="E101" s="6"/>
      <c r="F101" s="6" t="s">
        <v>706</v>
      </c>
      <c r="G101" s="6"/>
      <c r="H101" s="6" t="s">
        <v>707</v>
      </c>
      <c r="I101" s="6"/>
      <c r="J101" s="6" t="s">
        <v>283</v>
      </c>
      <c r="K101" s="6"/>
      <c r="L101" s="6" t="s">
        <v>698</v>
      </c>
      <c r="M101" s="6" t="s">
        <v>708</v>
      </c>
      <c r="N101" s="6"/>
      <c r="O101" s="6"/>
      <c r="P101" s="6"/>
      <c r="Q101" s="6"/>
      <c r="R101" s="6"/>
      <c r="S101" s="6"/>
      <c r="T101" s="6" t="s">
        <v>709</v>
      </c>
      <c r="U101" s="6"/>
      <c r="V101" s="6" t="s">
        <v>277</v>
      </c>
      <c r="W101" s="6" t="s">
        <v>710</v>
      </c>
      <c r="X101" s="6" t="s">
        <v>207</v>
      </c>
    </row>
    <row r="102" customFormat="false" ht="23.85" hidden="false" customHeight="false" outlineLevel="0" collapsed="false">
      <c r="A102" s="6" t="s">
        <v>686</v>
      </c>
      <c r="B102" s="6" t="s">
        <v>694</v>
      </c>
      <c r="C102" s="6" t="s">
        <v>169</v>
      </c>
      <c r="D102" s="6" t="s">
        <v>695</v>
      </c>
      <c r="E102" s="6"/>
      <c r="F102" s="6" t="s">
        <v>711</v>
      </c>
      <c r="G102" s="6"/>
      <c r="H102" s="6" t="s">
        <v>712</v>
      </c>
      <c r="I102" s="6"/>
      <c r="J102" s="6" t="s">
        <v>265</v>
      </c>
      <c r="K102" s="6" t="s">
        <v>713</v>
      </c>
      <c r="L102" s="6" t="s">
        <v>698</v>
      </c>
      <c r="M102" s="6" t="s">
        <v>420</v>
      </c>
      <c r="N102" s="6"/>
      <c r="O102" s="6"/>
      <c r="P102" s="6"/>
      <c r="Q102" s="6"/>
      <c r="R102" s="6"/>
      <c r="S102" s="6"/>
      <c r="T102" s="6" t="s">
        <v>714</v>
      </c>
      <c r="U102" s="6"/>
      <c r="V102" s="6" t="s">
        <v>277</v>
      </c>
      <c r="W102" s="6" t="s">
        <v>715</v>
      </c>
      <c r="X102" s="6" t="s">
        <v>207</v>
      </c>
    </row>
    <row r="103" customFormat="false" ht="23.85" hidden="false" customHeight="false" outlineLevel="0" collapsed="false">
      <c r="A103" s="6" t="s">
        <v>686</v>
      </c>
      <c r="B103" s="6" t="s">
        <v>716</v>
      </c>
      <c r="C103" s="6" t="s">
        <v>169</v>
      </c>
      <c r="D103" s="6" t="s">
        <v>717</v>
      </c>
      <c r="E103" s="6"/>
      <c r="F103" s="6" t="s">
        <v>718</v>
      </c>
      <c r="G103" s="6"/>
      <c r="H103" s="6" t="s">
        <v>719</v>
      </c>
      <c r="I103" s="6"/>
      <c r="J103" s="6" t="s">
        <v>206</v>
      </c>
      <c r="K103" s="6" t="s">
        <v>612</v>
      </c>
      <c r="L103" s="6" t="s">
        <v>207</v>
      </c>
      <c r="M103" s="6" t="s">
        <v>609</v>
      </c>
      <c r="N103" s="6"/>
      <c r="O103" s="6"/>
      <c r="P103" s="6"/>
      <c r="Q103" s="6"/>
      <c r="R103" s="6"/>
      <c r="S103" s="6"/>
      <c r="T103" s="6" t="s">
        <v>211</v>
      </c>
      <c r="U103" s="6" t="s">
        <v>609</v>
      </c>
      <c r="V103" s="6" t="s">
        <v>277</v>
      </c>
      <c r="W103" s="6" t="s">
        <v>720</v>
      </c>
      <c r="X103" s="6" t="s">
        <v>207</v>
      </c>
    </row>
    <row r="104" customFormat="false" ht="23.85" hidden="false" customHeight="false" outlineLevel="0" collapsed="false">
      <c r="A104" s="6" t="s">
        <v>686</v>
      </c>
      <c r="B104" s="6" t="s">
        <v>716</v>
      </c>
      <c r="C104" s="6" t="s">
        <v>169</v>
      </c>
      <c r="D104" s="6" t="s">
        <v>717</v>
      </c>
      <c r="E104" s="6"/>
      <c r="F104" s="6" t="s">
        <v>721</v>
      </c>
      <c r="G104" s="6"/>
      <c r="H104" s="6" t="s">
        <v>722</v>
      </c>
      <c r="I104" s="6"/>
      <c r="J104" s="6" t="s">
        <v>265</v>
      </c>
      <c r="K104" s="6" t="s">
        <v>723</v>
      </c>
      <c r="L104" s="6" t="s">
        <v>207</v>
      </c>
      <c r="M104" s="6" t="s">
        <v>724</v>
      </c>
      <c r="N104" s="6"/>
      <c r="O104" s="6"/>
      <c r="P104" s="6"/>
      <c r="Q104" s="6"/>
      <c r="R104" s="6"/>
      <c r="S104" s="6"/>
      <c r="T104" s="6" t="s">
        <v>725</v>
      </c>
      <c r="U104" s="6"/>
      <c r="V104" s="6" t="s">
        <v>277</v>
      </c>
      <c r="W104" s="6" t="s">
        <v>726</v>
      </c>
      <c r="X104" s="6" t="s">
        <v>207</v>
      </c>
    </row>
    <row r="105" customFormat="false" ht="23.85" hidden="false" customHeight="false" outlineLevel="0" collapsed="false">
      <c r="A105" s="6" t="s">
        <v>686</v>
      </c>
      <c r="B105" s="6" t="s">
        <v>169</v>
      </c>
      <c r="C105" s="6" t="s">
        <v>169</v>
      </c>
      <c r="D105" s="6" t="s">
        <v>727</v>
      </c>
      <c r="E105" s="6"/>
      <c r="F105" s="6" t="s">
        <v>728</v>
      </c>
      <c r="G105" s="6"/>
      <c r="H105" s="6" t="s">
        <v>205</v>
      </c>
      <c r="I105" s="6"/>
      <c r="J105" s="6" t="s">
        <v>206</v>
      </c>
      <c r="K105" s="6" t="s">
        <v>728</v>
      </c>
      <c r="L105" s="6" t="s">
        <v>729</v>
      </c>
      <c r="M105" s="6"/>
      <c r="N105" s="6"/>
      <c r="O105" s="6"/>
      <c r="P105" s="6"/>
      <c r="Q105" s="6"/>
      <c r="R105" s="6"/>
      <c r="S105" s="6"/>
      <c r="T105" s="6" t="s">
        <v>730</v>
      </c>
      <c r="U105" s="6"/>
      <c r="V105" s="6" t="s">
        <v>228</v>
      </c>
      <c r="W105" s="6" t="s">
        <v>731</v>
      </c>
      <c r="X105" s="6" t="s">
        <v>207</v>
      </c>
    </row>
  </sheetData>
  <autoFilter ref="A1:X1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3" min="3" style="0" width="42"/>
    <col collapsed="false" customWidth="true" hidden="false" outlineLevel="0" max="4" min="4" style="0" width="32"/>
    <col collapsed="false" customWidth="true" hidden="false" outlineLevel="0" max="5" min="5" style="0" width="50"/>
    <col collapsed="false" customWidth="true" hidden="false" outlineLevel="0" max="8" min="6" style="0" width="9"/>
    <col collapsed="false" customWidth="true" hidden="false" outlineLevel="0" max="9" min="9" style="0" width="6"/>
    <col collapsed="false" customWidth="true" hidden="false" outlineLevel="0" max="10" min="10" style="0" width="7"/>
    <col collapsed="false" customWidth="true" hidden="false" outlineLevel="0" max="11" min="11" style="0" width="60"/>
  </cols>
  <sheetData>
    <row r="1" customFormat="false" ht="30" hidden="false" customHeight="true" outlineLevel="0" collapsed="false">
      <c r="A1" s="4" t="s">
        <v>189</v>
      </c>
      <c r="B1" s="4" t="s">
        <v>184</v>
      </c>
      <c r="C1" s="4" t="s">
        <v>732</v>
      </c>
      <c r="D1" s="4" t="s">
        <v>733</v>
      </c>
      <c r="E1" s="4" t="s">
        <v>734</v>
      </c>
      <c r="F1" s="4" t="s">
        <v>735</v>
      </c>
      <c r="G1" s="4" t="s">
        <v>736</v>
      </c>
      <c r="H1" s="4" t="s">
        <v>121</v>
      </c>
      <c r="I1" s="4" t="s">
        <v>93</v>
      </c>
      <c r="J1" s="4" t="s">
        <v>737</v>
      </c>
      <c r="K1" s="4" t="s">
        <v>738</v>
      </c>
    </row>
    <row r="2" customFormat="false" ht="15" hidden="false" customHeight="false" outlineLevel="0" collapsed="false">
      <c r="A2" s="5" t="s">
        <v>401</v>
      </c>
      <c r="B2" s="5"/>
      <c r="C2" s="5" t="s">
        <v>739</v>
      </c>
      <c r="D2" s="5"/>
      <c r="E2" s="5"/>
      <c r="F2" s="5" t="n">
        <v>0</v>
      </c>
      <c r="G2" s="5" t="s">
        <v>740</v>
      </c>
      <c r="H2" s="5" t="s">
        <v>71</v>
      </c>
      <c r="I2" s="5"/>
      <c r="J2" s="5"/>
      <c r="K2" s="5"/>
    </row>
    <row r="3" customFormat="false" ht="15" hidden="false" customHeight="false" outlineLevel="0" collapsed="false">
      <c r="A3" s="5" t="s">
        <v>401</v>
      </c>
      <c r="B3" s="5"/>
      <c r="C3" s="5" t="s">
        <v>741</v>
      </c>
      <c r="D3" s="5"/>
      <c r="E3" s="5"/>
      <c r="F3" s="5" t="n">
        <v>0</v>
      </c>
      <c r="G3" s="5" t="s">
        <v>740</v>
      </c>
      <c r="H3" s="5" t="s">
        <v>71</v>
      </c>
      <c r="I3" s="5"/>
      <c r="J3" s="5"/>
      <c r="K3" s="5"/>
    </row>
    <row r="4" customFormat="false" ht="15" hidden="false" customHeight="false" outlineLevel="0" collapsed="false">
      <c r="A4" s="5" t="s">
        <v>401</v>
      </c>
      <c r="B4" s="5"/>
      <c r="C4" s="5" t="s">
        <v>742</v>
      </c>
      <c r="D4" s="5"/>
      <c r="E4" s="5"/>
      <c r="F4" s="5" t="n">
        <v>0</v>
      </c>
      <c r="G4" s="5" t="s">
        <v>740</v>
      </c>
      <c r="H4" s="5" t="s">
        <v>71</v>
      </c>
      <c r="I4" s="5"/>
      <c r="J4" s="5"/>
      <c r="K4" s="5"/>
    </row>
    <row r="5" customFormat="false" ht="15" hidden="false" customHeight="false" outlineLevel="0" collapsed="false">
      <c r="A5" s="5" t="s">
        <v>401</v>
      </c>
      <c r="B5" s="5"/>
      <c r="C5" s="5" t="s">
        <v>743</v>
      </c>
      <c r="D5" s="5"/>
      <c r="E5" s="5"/>
      <c r="F5" s="5" t="n">
        <v>0</v>
      </c>
      <c r="G5" s="5" t="s">
        <v>740</v>
      </c>
      <c r="H5" s="5" t="s">
        <v>71</v>
      </c>
      <c r="I5" s="5"/>
      <c r="J5" s="5"/>
      <c r="K5" s="5"/>
    </row>
    <row r="6" customFormat="false" ht="15" hidden="false" customHeight="false" outlineLevel="0" collapsed="false">
      <c r="A6" s="5" t="s">
        <v>401</v>
      </c>
      <c r="B6" s="5"/>
      <c r="C6" s="5" t="s">
        <v>744</v>
      </c>
      <c r="D6" s="5"/>
      <c r="E6" s="5"/>
      <c r="F6" s="5" t="n">
        <v>0</v>
      </c>
      <c r="G6" s="5" t="s">
        <v>740</v>
      </c>
      <c r="H6" s="5" t="s">
        <v>71</v>
      </c>
      <c r="I6" s="5"/>
      <c r="J6" s="5"/>
      <c r="K6" s="5"/>
    </row>
    <row r="7" customFormat="false" ht="15" hidden="false" customHeight="false" outlineLevel="0" collapsed="false">
      <c r="A7" s="5" t="s">
        <v>401</v>
      </c>
      <c r="B7" s="5"/>
      <c r="C7" s="5" t="s">
        <v>745</v>
      </c>
      <c r="D7" s="5"/>
      <c r="E7" s="5"/>
      <c r="F7" s="5" t="n">
        <v>0</v>
      </c>
      <c r="G7" s="5" t="s">
        <v>740</v>
      </c>
      <c r="H7" s="5" t="s">
        <v>71</v>
      </c>
      <c r="I7" s="5"/>
      <c r="J7" s="5"/>
      <c r="K7" s="5"/>
    </row>
    <row r="8" customFormat="false" ht="15" hidden="false" customHeight="false" outlineLevel="0" collapsed="false">
      <c r="A8" s="5" t="s">
        <v>401</v>
      </c>
      <c r="B8" s="5"/>
      <c r="C8" s="5" t="s">
        <v>746</v>
      </c>
      <c r="D8" s="5"/>
      <c r="E8" s="5"/>
      <c r="F8" s="5" t="n">
        <v>0</v>
      </c>
      <c r="G8" s="5" t="s">
        <v>740</v>
      </c>
      <c r="H8" s="5" t="s">
        <v>71</v>
      </c>
      <c r="I8" s="5"/>
      <c r="J8" s="5"/>
      <c r="K8" s="5"/>
    </row>
    <row r="9" customFormat="false" ht="15" hidden="false" customHeight="false" outlineLevel="0" collapsed="false">
      <c r="A9" s="5" t="s">
        <v>401</v>
      </c>
      <c r="B9" s="5"/>
      <c r="C9" s="5" t="s">
        <v>747</v>
      </c>
      <c r="D9" s="5"/>
      <c r="E9" s="5"/>
      <c r="F9" s="5" t="n">
        <v>0</v>
      </c>
      <c r="G9" s="5" t="s">
        <v>740</v>
      </c>
      <c r="H9" s="5" t="s">
        <v>71</v>
      </c>
      <c r="I9" s="5"/>
      <c r="J9" s="5"/>
      <c r="K9" s="5"/>
    </row>
    <row r="10" customFormat="false" ht="15" hidden="false" customHeight="false" outlineLevel="0" collapsed="false">
      <c r="A10" s="5" t="s">
        <v>401</v>
      </c>
      <c r="B10" s="5"/>
      <c r="C10" s="5" t="s">
        <v>748</v>
      </c>
      <c r="D10" s="5"/>
      <c r="E10" s="5"/>
      <c r="F10" s="5" t="n">
        <v>0</v>
      </c>
      <c r="G10" s="5" t="s">
        <v>740</v>
      </c>
      <c r="H10" s="5" t="s">
        <v>71</v>
      </c>
      <c r="I10" s="5"/>
      <c r="J10" s="5"/>
      <c r="K10" s="5"/>
    </row>
    <row r="11" customFormat="false" ht="15" hidden="false" customHeight="false" outlineLevel="0" collapsed="false">
      <c r="A11" s="5" t="s">
        <v>401</v>
      </c>
      <c r="B11" s="5"/>
      <c r="C11" s="5" t="s">
        <v>749</v>
      </c>
      <c r="D11" s="5"/>
      <c r="E11" s="5"/>
      <c r="F11" s="5" t="n">
        <v>0</v>
      </c>
      <c r="G11" s="5" t="s">
        <v>740</v>
      </c>
      <c r="H11" s="5" t="s">
        <v>71</v>
      </c>
      <c r="I11" s="5"/>
      <c r="J11" s="5"/>
      <c r="K11" s="5"/>
    </row>
    <row r="12" customFormat="false" ht="15" hidden="false" customHeight="false" outlineLevel="0" collapsed="false">
      <c r="A12" s="5" t="s">
        <v>401</v>
      </c>
      <c r="B12" s="5"/>
      <c r="C12" s="5" t="s">
        <v>750</v>
      </c>
      <c r="D12" s="5"/>
      <c r="E12" s="5"/>
      <c r="F12" s="5" t="n">
        <v>0</v>
      </c>
      <c r="G12" s="5" t="s">
        <v>740</v>
      </c>
      <c r="H12" s="5" t="s">
        <v>71</v>
      </c>
      <c r="I12" s="5"/>
      <c r="J12" s="5"/>
      <c r="K12" s="5"/>
    </row>
    <row r="13" customFormat="false" ht="15" hidden="false" customHeight="false" outlineLevel="0" collapsed="false">
      <c r="A13" s="5" t="s">
        <v>401</v>
      </c>
      <c r="B13" s="5"/>
      <c r="C13" s="5" t="s">
        <v>751</v>
      </c>
      <c r="D13" s="5"/>
      <c r="E13" s="5"/>
      <c r="F13" s="5" t="n">
        <v>0</v>
      </c>
      <c r="G13" s="5" t="s">
        <v>740</v>
      </c>
      <c r="H13" s="5" t="s">
        <v>71</v>
      </c>
      <c r="I13" s="5"/>
      <c r="J13" s="5"/>
      <c r="K13" s="5"/>
    </row>
    <row r="14" customFormat="false" ht="15" hidden="false" customHeight="false" outlineLevel="0" collapsed="false">
      <c r="A14" s="5" t="s">
        <v>401</v>
      </c>
      <c r="B14" s="5"/>
      <c r="C14" s="5" t="s">
        <v>752</v>
      </c>
      <c r="D14" s="5"/>
      <c r="E14" s="5"/>
      <c r="F14" s="5" t="n">
        <v>0</v>
      </c>
      <c r="G14" s="5" t="s">
        <v>740</v>
      </c>
      <c r="H14" s="5" t="s">
        <v>71</v>
      </c>
      <c r="I14" s="5"/>
      <c r="J14" s="5"/>
      <c r="K14" s="5"/>
    </row>
    <row r="15" customFormat="false" ht="15" hidden="false" customHeight="false" outlineLevel="0" collapsed="false">
      <c r="A15" s="5" t="s">
        <v>401</v>
      </c>
      <c r="B15" s="5"/>
      <c r="C15" s="5" t="s">
        <v>753</v>
      </c>
      <c r="D15" s="5"/>
      <c r="E15" s="5"/>
      <c r="F15" s="5" t="n">
        <v>0</v>
      </c>
      <c r="G15" s="5" t="s">
        <v>740</v>
      </c>
      <c r="H15" s="5" t="s">
        <v>71</v>
      </c>
      <c r="I15" s="5"/>
      <c r="J15" s="5"/>
      <c r="K15" s="5"/>
    </row>
    <row r="16" customFormat="false" ht="15" hidden="false" customHeight="false" outlineLevel="0" collapsed="false">
      <c r="A16" s="5" t="s">
        <v>401</v>
      </c>
      <c r="B16" s="5"/>
      <c r="C16" s="5" t="s">
        <v>754</v>
      </c>
      <c r="D16" s="5"/>
      <c r="E16" s="5"/>
      <c r="F16" s="5" t="n">
        <v>0</v>
      </c>
      <c r="G16" s="5" t="s">
        <v>740</v>
      </c>
      <c r="H16" s="5" t="s">
        <v>71</v>
      </c>
      <c r="I16" s="5"/>
      <c r="J16" s="5"/>
      <c r="K16" s="5"/>
    </row>
    <row r="17" customFormat="false" ht="15" hidden="false" customHeight="false" outlineLevel="0" collapsed="false">
      <c r="A17" s="5" t="s">
        <v>401</v>
      </c>
      <c r="B17" s="5"/>
      <c r="C17" s="5" t="s">
        <v>755</v>
      </c>
      <c r="D17" s="5"/>
      <c r="E17" s="5"/>
      <c r="F17" s="5" t="n">
        <v>0</v>
      </c>
      <c r="G17" s="5" t="s">
        <v>740</v>
      </c>
      <c r="H17" s="5" t="s">
        <v>71</v>
      </c>
      <c r="I17" s="5"/>
      <c r="J17" s="5"/>
      <c r="K17" s="5"/>
    </row>
    <row r="18" customFormat="false" ht="15" hidden="false" customHeight="false" outlineLevel="0" collapsed="false">
      <c r="A18" s="5" t="s">
        <v>401</v>
      </c>
      <c r="B18" s="5"/>
      <c r="C18" s="5" t="s">
        <v>756</v>
      </c>
      <c r="D18" s="5"/>
      <c r="E18" s="5"/>
      <c r="F18" s="5" t="n">
        <v>0</v>
      </c>
      <c r="G18" s="5" t="s">
        <v>740</v>
      </c>
      <c r="H18" s="5" t="s">
        <v>71</v>
      </c>
      <c r="I18" s="5"/>
      <c r="J18" s="5"/>
      <c r="K18" s="5"/>
    </row>
    <row r="19" customFormat="false" ht="15" hidden="false" customHeight="false" outlineLevel="0" collapsed="false">
      <c r="A19" s="5" t="s">
        <v>401</v>
      </c>
      <c r="B19" s="5"/>
      <c r="C19" s="5" t="s">
        <v>757</v>
      </c>
      <c r="D19" s="5"/>
      <c r="E19" s="5"/>
      <c r="F19" s="5" t="n">
        <v>0</v>
      </c>
      <c r="G19" s="5" t="s">
        <v>740</v>
      </c>
      <c r="H19" s="5" t="s">
        <v>71</v>
      </c>
      <c r="I19" s="5"/>
      <c r="J19" s="5"/>
      <c r="K19" s="5"/>
    </row>
    <row r="20" customFormat="false" ht="15" hidden="false" customHeight="false" outlineLevel="0" collapsed="false">
      <c r="A20" s="5" t="s">
        <v>401</v>
      </c>
      <c r="B20" s="5"/>
      <c r="C20" s="5" t="s">
        <v>758</v>
      </c>
      <c r="D20" s="5"/>
      <c r="E20" s="5"/>
      <c r="F20" s="5" t="n">
        <v>0</v>
      </c>
      <c r="G20" s="5" t="s">
        <v>740</v>
      </c>
      <c r="H20" s="5" t="s">
        <v>71</v>
      </c>
      <c r="I20" s="5"/>
      <c r="J20" s="5"/>
      <c r="K20" s="5"/>
    </row>
    <row r="21" customFormat="false" ht="15" hidden="false" customHeight="false" outlineLevel="0" collapsed="false">
      <c r="A21" s="5" t="s">
        <v>401</v>
      </c>
      <c r="B21" s="5"/>
      <c r="C21" s="5" t="s">
        <v>759</v>
      </c>
      <c r="D21" s="5"/>
      <c r="E21" s="5"/>
      <c r="F21" s="5" t="n">
        <v>0</v>
      </c>
      <c r="G21" s="5" t="s">
        <v>740</v>
      </c>
      <c r="H21" s="5" t="s">
        <v>71</v>
      </c>
      <c r="I21" s="5"/>
      <c r="J21" s="5"/>
      <c r="K21" s="5"/>
    </row>
    <row r="22" customFormat="false" ht="15" hidden="false" customHeight="false" outlineLevel="0" collapsed="false">
      <c r="A22" s="5" t="s">
        <v>401</v>
      </c>
      <c r="B22" s="5"/>
      <c r="C22" s="5" t="s">
        <v>760</v>
      </c>
      <c r="D22" s="5"/>
      <c r="E22" s="5"/>
      <c r="F22" s="5" t="n">
        <v>0</v>
      </c>
      <c r="G22" s="5" t="s">
        <v>740</v>
      </c>
      <c r="H22" s="5" t="s">
        <v>71</v>
      </c>
      <c r="I22" s="5"/>
      <c r="J22" s="5"/>
      <c r="K22" s="5"/>
    </row>
    <row r="23" customFormat="false" ht="15" hidden="false" customHeight="false" outlineLevel="0" collapsed="false">
      <c r="A23" s="5" t="s">
        <v>401</v>
      </c>
      <c r="B23" s="5"/>
      <c r="C23" s="5" t="s">
        <v>761</v>
      </c>
      <c r="D23" s="5"/>
      <c r="E23" s="5"/>
      <c r="F23" s="5" t="n">
        <v>0</v>
      </c>
      <c r="G23" s="5" t="s">
        <v>740</v>
      </c>
      <c r="H23" s="5" t="s">
        <v>71</v>
      </c>
      <c r="I23" s="5"/>
      <c r="J23" s="5"/>
      <c r="K23" s="5"/>
    </row>
    <row r="24" customFormat="false" ht="15" hidden="false" customHeight="false" outlineLevel="0" collapsed="false">
      <c r="A24" s="5" t="s">
        <v>401</v>
      </c>
      <c r="B24" s="5"/>
      <c r="C24" s="5" t="s">
        <v>762</v>
      </c>
      <c r="D24" s="5"/>
      <c r="E24" s="5"/>
      <c r="F24" s="5" t="n">
        <v>0</v>
      </c>
      <c r="G24" s="5" t="s">
        <v>740</v>
      </c>
      <c r="H24" s="5" t="s">
        <v>71</v>
      </c>
      <c r="I24" s="5"/>
      <c r="J24" s="5"/>
      <c r="K24" s="5"/>
    </row>
    <row r="25" customFormat="false" ht="15" hidden="false" customHeight="false" outlineLevel="0" collapsed="false">
      <c r="A25" s="5" t="s">
        <v>401</v>
      </c>
      <c r="B25" s="5"/>
      <c r="C25" s="5" t="s">
        <v>763</v>
      </c>
      <c r="D25" s="5"/>
      <c r="E25" s="5"/>
      <c r="F25" s="5" t="n">
        <v>0</v>
      </c>
      <c r="G25" s="5" t="s">
        <v>740</v>
      </c>
      <c r="H25" s="5" t="s">
        <v>71</v>
      </c>
      <c r="I25" s="5"/>
      <c r="J25" s="5"/>
      <c r="K25" s="5"/>
    </row>
    <row r="26" customFormat="false" ht="15" hidden="false" customHeight="false" outlineLevel="0" collapsed="false">
      <c r="A26" s="5" t="s">
        <v>401</v>
      </c>
      <c r="B26" s="5"/>
      <c r="C26" s="5" t="s">
        <v>764</v>
      </c>
      <c r="D26" s="5"/>
      <c r="E26" s="5"/>
      <c r="F26" s="5" t="n">
        <v>0</v>
      </c>
      <c r="G26" s="5" t="s">
        <v>740</v>
      </c>
      <c r="H26" s="5" t="s">
        <v>71</v>
      </c>
      <c r="I26" s="5"/>
      <c r="J26" s="5"/>
      <c r="K26" s="5"/>
    </row>
    <row r="27" customFormat="false" ht="15" hidden="false" customHeight="false" outlineLevel="0" collapsed="false">
      <c r="A27" s="5" t="s">
        <v>401</v>
      </c>
      <c r="B27" s="5"/>
      <c r="C27" s="5" t="s">
        <v>765</v>
      </c>
      <c r="D27" s="5"/>
      <c r="E27" s="5"/>
      <c r="F27" s="5" t="n">
        <v>0</v>
      </c>
      <c r="G27" s="5" t="s">
        <v>740</v>
      </c>
      <c r="H27" s="5" t="s">
        <v>71</v>
      </c>
      <c r="I27" s="5"/>
      <c r="J27" s="5"/>
      <c r="K27" s="5"/>
    </row>
    <row r="28" customFormat="false" ht="15" hidden="false" customHeight="false" outlineLevel="0" collapsed="false">
      <c r="A28" s="5" t="s">
        <v>401</v>
      </c>
      <c r="B28" s="5"/>
      <c r="C28" s="5" t="s">
        <v>766</v>
      </c>
      <c r="D28" s="5"/>
      <c r="E28" s="5"/>
      <c r="F28" s="5" t="n">
        <v>0</v>
      </c>
      <c r="G28" s="5" t="s">
        <v>740</v>
      </c>
      <c r="H28" s="5" t="s">
        <v>71</v>
      </c>
      <c r="I28" s="5"/>
      <c r="J28" s="5"/>
      <c r="K28" s="5"/>
    </row>
    <row r="29" customFormat="false" ht="15" hidden="false" customHeight="false" outlineLevel="0" collapsed="false">
      <c r="A29" s="5" t="s">
        <v>401</v>
      </c>
      <c r="B29" s="5"/>
      <c r="C29" s="5" t="s">
        <v>767</v>
      </c>
      <c r="D29" s="5"/>
      <c r="E29" s="5"/>
      <c r="F29" s="5" t="n">
        <v>0</v>
      </c>
      <c r="G29" s="5" t="s">
        <v>740</v>
      </c>
      <c r="H29" s="5" t="s">
        <v>71</v>
      </c>
      <c r="I29" s="5"/>
      <c r="J29" s="5"/>
      <c r="K29" s="5"/>
    </row>
    <row r="30" customFormat="false" ht="15" hidden="false" customHeight="false" outlineLevel="0" collapsed="false">
      <c r="A30" s="5" t="s">
        <v>401</v>
      </c>
      <c r="B30" s="5"/>
      <c r="C30" s="5" t="s">
        <v>768</v>
      </c>
      <c r="D30" s="5"/>
      <c r="E30" s="5"/>
      <c r="F30" s="5" t="n">
        <v>0</v>
      </c>
      <c r="G30" s="5" t="s">
        <v>740</v>
      </c>
      <c r="H30" s="5" t="s">
        <v>71</v>
      </c>
      <c r="I30" s="5"/>
      <c r="J30" s="5"/>
      <c r="K30" s="5"/>
    </row>
    <row r="31" customFormat="false" ht="15" hidden="false" customHeight="false" outlineLevel="0" collapsed="false">
      <c r="A31" s="5" t="s">
        <v>401</v>
      </c>
      <c r="B31" s="5"/>
      <c r="C31" s="5" t="s">
        <v>769</v>
      </c>
      <c r="D31" s="5"/>
      <c r="E31" s="5"/>
      <c r="F31" s="5" t="n">
        <v>0</v>
      </c>
      <c r="G31" s="5" t="s">
        <v>740</v>
      </c>
      <c r="H31" s="5" t="s">
        <v>71</v>
      </c>
      <c r="I31" s="5"/>
      <c r="J31" s="5"/>
      <c r="K31" s="5"/>
    </row>
    <row r="32" customFormat="false" ht="15" hidden="false" customHeight="false" outlineLevel="0" collapsed="false">
      <c r="A32" s="5" t="s">
        <v>401</v>
      </c>
      <c r="B32" s="5"/>
      <c r="C32" s="5" t="s">
        <v>770</v>
      </c>
      <c r="D32" s="5"/>
      <c r="E32" s="5"/>
      <c r="F32" s="5" t="n">
        <v>0</v>
      </c>
      <c r="G32" s="5" t="s">
        <v>740</v>
      </c>
      <c r="H32" s="5" t="s">
        <v>71</v>
      </c>
      <c r="I32" s="5"/>
      <c r="J32" s="5"/>
      <c r="K32" s="5"/>
    </row>
    <row r="33" customFormat="false" ht="15" hidden="false" customHeight="false" outlineLevel="0" collapsed="false">
      <c r="A33" s="5" t="s">
        <v>401</v>
      </c>
      <c r="B33" s="5"/>
      <c r="C33" s="5" t="s">
        <v>771</v>
      </c>
      <c r="D33" s="5"/>
      <c r="E33" s="5"/>
      <c r="F33" s="5" t="n">
        <v>0</v>
      </c>
      <c r="G33" s="5" t="s">
        <v>740</v>
      </c>
      <c r="H33" s="5" t="s">
        <v>71</v>
      </c>
      <c r="I33" s="5"/>
      <c r="J33" s="5"/>
      <c r="K33" s="5"/>
    </row>
    <row r="34" customFormat="false" ht="15" hidden="false" customHeight="false" outlineLevel="0" collapsed="false">
      <c r="A34" s="5" t="s">
        <v>401</v>
      </c>
      <c r="B34" s="5"/>
      <c r="C34" s="5" t="s">
        <v>772</v>
      </c>
      <c r="D34" s="5"/>
      <c r="E34" s="5"/>
      <c r="F34" s="5" t="n">
        <v>0</v>
      </c>
      <c r="G34" s="5" t="s">
        <v>740</v>
      </c>
      <c r="H34" s="5" t="s">
        <v>71</v>
      </c>
      <c r="I34" s="5"/>
      <c r="J34" s="5"/>
      <c r="K34" s="5"/>
    </row>
    <row r="35" customFormat="false" ht="15" hidden="false" customHeight="false" outlineLevel="0" collapsed="false">
      <c r="A35" s="5" t="s">
        <v>401</v>
      </c>
      <c r="B35" s="5"/>
      <c r="C35" s="5" t="s">
        <v>773</v>
      </c>
      <c r="D35" s="5"/>
      <c r="E35" s="5"/>
      <c r="F35" s="5" t="n">
        <v>0</v>
      </c>
      <c r="G35" s="5" t="s">
        <v>740</v>
      </c>
      <c r="H35" s="5" t="s">
        <v>71</v>
      </c>
      <c r="I35" s="5"/>
      <c r="J35" s="5"/>
      <c r="K35" s="5"/>
    </row>
    <row r="36" customFormat="false" ht="15" hidden="false" customHeight="false" outlineLevel="0" collapsed="false">
      <c r="A36" s="5" t="s">
        <v>401</v>
      </c>
      <c r="B36" s="5"/>
      <c r="C36" s="5" t="s">
        <v>774</v>
      </c>
      <c r="D36" s="5"/>
      <c r="E36" s="5"/>
      <c r="F36" s="5" t="n">
        <v>0</v>
      </c>
      <c r="G36" s="5" t="s">
        <v>740</v>
      </c>
      <c r="H36" s="5" t="s">
        <v>71</v>
      </c>
      <c r="I36" s="5"/>
      <c r="J36" s="5"/>
      <c r="K36" s="5"/>
    </row>
    <row r="37" customFormat="false" ht="15" hidden="false" customHeight="false" outlineLevel="0" collapsed="false">
      <c r="A37" s="5" t="s">
        <v>401</v>
      </c>
      <c r="B37" s="5"/>
      <c r="C37" s="5" t="s">
        <v>775</v>
      </c>
      <c r="D37" s="5"/>
      <c r="E37" s="5"/>
      <c r="F37" s="5" t="n">
        <v>0</v>
      </c>
      <c r="G37" s="5" t="s">
        <v>740</v>
      </c>
      <c r="H37" s="5" t="s">
        <v>71</v>
      </c>
      <c r="I37" s="5"/>
      <c r="J37" s="5"/>
      <c r="K37" s="5"/>
    </row>
    <row r="38" customFormat="false" ht="15" hidden="false" customHeight="false" outlineLevel="0" collapsed="false">
      <c r="A38" s="5" t="s">
        <v>401</v>
      </c>
      <c r="B38" s="5"/>
      <c r="C38" s="5" t="s">
        <v>776</v>
      </c>
      <c r="D38" s="5"/>
      <c r="E38" s="5"/>
      <c r="F38" s="5" t="n">
        <v>0</v>
      </c>
      <c r="G38" s="5" t="s">
        <v>740</v>
      </c>
      <c r="H38" s="5" t="s">
        <v>71</v>
      </c>
      <c r="I38" s="5"/>
      <c r="J38" s="5"/>
      <c r="K38" s="5"/>
    </row>
    <row r="39" customFormat="false" ht="15" hidden="false" customHeight="false" outlineLevel="0" collapsed="false">
      <c r="A39" s="5" t="s">
        <v>401</v>
      </c>
      <c r="B39" s="5"/>
      <c r="C39" s="5" t="s">
        <v>777</v>
      </c>
      <c r="D39" s="5"/>
      <c r="E39" s="5"/>
      <c r="F39" s="5" t="n">
        <v>0</v>
      </c>
      <c r="G39" s="5" t="s">
        <v>740</v>
      </c>
      <c r="H39" s="5" t="s">
        <v>71</v>
      </c>
      <c r="I39" s="5"/>
      <c r="J39" s="5"/>
      <c r="K39" s="5"/>
    </row>
    <row r="40" customFormat="false" ht="15" hidden="false" customHeight="false" outlineLevel="0" collapsed="false">
      <c r="A40" s="5" t="s">
        <v>401</v>
      </c>
      <c r="B40" s="5"/>
      <c r="C40" s="5" t="s">
        <v>778</v>
      </c>
      <c r="D40" s="5"/>
      <c r="E40" s="5"/>
      <c r="F40" s="5" t="n">
        <v>0</v>
      </c>
      <c r="G40" s="5" t="s">
        <v>740</v>
      </c>
      <c r="H40" s="5" t="s">
        <v>71</v>
      </c>
      <c r="I40" s="5"/>
      <c r="J40" s="5"/>
      <c r="K40" s="5"/>
    </row>
    <row r="41" customFormat="false" ht="15" hidden="false" customHeight="false" outlineLevel="0" collapsed="false">
      <c r="A41" s="5" t="s">
        <v>401</v>
      </c>
      <c r="B41" s="5"/>
      <c r="C41" s="5" t="s">
        <v>779</v>
      </c>
      <c r="D41" s="5"/>
      <c r="E41" s="5"/>
      <c r="F41" s="5" t="n">
        <v>0</v>
      </c>
      <c r="G41" s="5" t="s">
        <v>740</v>
      </c>
      <c r="H41" s="5" t="s">
        <v>71</v>
      </c>
      <c r="I41" s="5"/>
      <c r="J41" s="5"/>
      <c r="K41" s="5"/>
    </row>
    <row r="42" customFormat="false" ht="15" hidden="false" customHeight="false" outlineLevel="0" collapsed="false">
      <c r="A42" s="5" t="s">
        <v>401</v>
      </c>
      <c r="B42" s="5"/>
      <c r="C42" s="5" t="s">
        <v>780</v>
      </c>
      <c r="D42" s="5"/>
      <c r="E42" s="5"/>
      <c r="F42" s="5" t="n">
        <v>0</v>
      </c>
      <c r="G42" s="5" t="s">
        <v>740</v>
      </c>
      <c r="H42" s="5" t="s">
        <v>71</v>
      </c>
      <c r="I42" s="5"/>
      <c r="J42" s="5"/>
      <c r="K42" s="5"/>
    </row>
    <row r="43" customFormat="false" ht="15" hidden="false" customHeight="false" outlineLevel="0" collapsed="false">
      <c r="A43" s="5" t="s">
        <v>401</v>
      </c>
      <c r="B43" s="5"/>
      <c r="C43" s="5" t="s">
        <v>781</v>
      </c>
      <c r="D43" s="5"/>
      <c r="E43" s="5"/>
      <c r="F43" s="5" t="n">
        <v>0</v>
      </c>
      <c r="G43" s="5" t="s">
        <v>740</v>
      </c>
      <c r="H43" s="5" t="s">
        <v>71</v>
      </c>
      <c r="I43" s="5"/>
      <c r="J43" s="5"/>
      <c r="K43" s="5"/>
    </row>
    <row r="44" customFormat="false" ht="15" hidden="false" customHeight="false" outlineLevel="0" collapsed="false">
      <c r="A44" s="5" t="s">
        <v>401</v>
      </c>
      <c r="B44" s="5"/>
      <c r="C44" s="5" t="s">
        <v>782</v>
      </c>
      <c r="D44" s="5"/>
      <c r="E44" s="5"/>
      <c r="F44" s="5" t="n">
        <v>0</v>
      </c>
      <c r="G44" s="5" t="s">
        <v>740</v>
      </c>
      <c r="H44" s="5" t="s">
        <v>71</v>
      </c>
      <c r="I44" s="5"/>
      <c r="J44" s="5"/>
      <c r="K44" s="5"/>
    </row>
    <row r="45" customFormat="false" ht="15" hidden="false" customHeight="false" outlineLevel="0" collapsed="false">
      <c r="A45" s="5" t="s">
        <v>401</v>
      </c>
      <c r="B45" s="5"/>
      <c r="C45" s="5" t="s">
        <v>402</v>
      </c>
      <c r="D45" s="5"/>
      <c r="E45" s="5"/>
      <c r="F45" s="5" t="n">
        <v>0</v>
      </c>
      <c r="G45" s="5" t="s">
        <v>740</v>
      </c>
      <c r="H45" s="5" t="s">
        <v>71</v>
      </c>
      <c r="I45" s="5"/>
      <c r="J45" s="5"/>
      <c r="K45" s="5"/>
    </row>
    <row r="46" customFormat="false" ht="15" hidden="false" customHeight="false" outlineLevel="0" collapsed="false">
      <c r="A46" s="5" t="s">
        <v>401</v>
      </c>
      <c r="B46" s="5"/>
      <c r="C46" s="5" t="s">
        <v>783</v>
      </c>
      <c r="D46" s="5"/>
      <c r="E46" s="5"/>
      <c r="F46" s="5" t="n">
        <v>0</v>
      </c>
      <c r="G46" s="5" t="s">
        <v>740</v>
      </c>
      <c r="H46" s="5" t="s">
        <v>71</v>
      </c>
      <c r="I46" s="5"/>
      <c r="J46" s="5"/>
      <c r="K46" s="5"/>
    </row>
    <row r="47" customFormat="false" ht="15" hidden="false" customHeight="false" outlineLevel="0" collapsed="false">
      <c r="A47" s="5" t="s">
        <v>401</v>
      </c>
      <c r="B47" s="5"/>
      <c r="C47" s="5" t="s">
        <v>784</v>
      </c>
      <c r="D47" s="5"/>
      <c r="E47" s="5"/>
      <c r="F47" s="5" t="n">
        <v>0</v>
      </c>
      <c r="G47" s="5" t="s">
        <v>740</v>
      </c>
      <c r="H47" s="5" t="s">
        <v>71</v>
      </c>
      <c r="I47" s="5"/>
      <c r="J47" s="5"/>
      <c r="K47" s="5"/>
    </row>
    <row r="48" customFormat="false" ht="15" hidden="false" customHeight="false" outlineLevel="0" collapsed="false">
      <c r="A48" s="5" t="s">
        <v>401</v>
      </c>
      <c r="B48" s="5"/>
      <c r="C48" s="5" t="s">
        <v>785</v>
      </c>
      <c r="D48" s="5"/>
      <c r="E48" s="5"/>
      <c r="F48" s="5" t="n">
        <v>0</v>
      </c>
      <c r="G48" s="5" t="s">
        <v>740</v>
      </c>
      <c r="H48" s="5" t="s">
        <v>71</v>
      </c>
      <c r="I48" s="5"/>
      <c r="J48" s="5"/>
      <c r="K48" s="5"/>
    </row>
    <row r="49" customFormat="false" ht="15" hidden="false" customHeight="false" outlineLevel="0" collapsed="false">
      <c r="A49" s="5" t="s">
        <v>401</v>
      </c>
      <c r="B49" s="5"/>
      <c r="C49" s="5" t="s">
        <v>786</v>
      </c>
      <c r="D49" s="5"/>
      <c r="E49" s="5"/>
      <c r="F49" s="5" t="n">
        <v>0</v>
      </c>
      <c r="G49" s="5" t="s">
        <v>740</v>
      </c>
      <c r="H49" s="5" t="s">
        <v>71</v>
      </c>
      <c r="I49" s="5"/>
      <c r="J49" s="5"/>
      <c r="K49" s="5"/>
    </row>
    <row r="50" customFormat="false" ht="15" hidden="false" customHeight="false" outlineLevel="0" collapsed="false">
      <c r="A50" s="5" t="s">
        <v>401</v>
      </c>
      <c r="B50" s="5"/>
      <c r="C50" s="5" t="s">
        <v>787</v>
      </c>
      <c r="D50" s="5"/>
      <c r="E50" s="5"/>
      <c r="F50" s="5" t="n">
        <v>0</v>
      </c>
      <c r="G50" s="5" t="s">
        <v>740</v>
      </c>
      <c r="H50" s="5" t="s">
        <v>71</v>
      </c>
      <c r="I50" s="5"/>
      <c r="J50" s="5"/>
      <c r="K50" s="5"/>
    </row>
    <row r="51" customFormat="false" ht="15" hidden="false" customHeight="false" outlineLevel="0" collapsed="false">
      <c r="A51" s="5" t="s">
        <v>401</v>
      </c>
      <c r="B51" s="5"/>
      <c r="C51" s="5" t="s">
        <v>788</v>
      </c>
      <c r="D51" s="5"/>
      <c r="E51" s="5"/>
      <c r="F51" s="5" t="n">
        <v>0</v>
      </c>
      <c r="G51" s="5" t="s">
        <v>740</v>
      </c>
      <c r="H51" s="5" t="s">
        <v>71</v>
      </c>
      <c r="I51" s="5"/>
      <c r="J51" s="5"/>
      <c r="K51" s="5"/>
    </row>
    <row r="52" customFormat="false" ht="15" hidden="false" customHeight="false" outlineLevel="0" collapsed="false">
      <c r="A52" s="5" t="s">
        <v>401</v>
      </c>
      <c r="B52" s="5"/>
      <c r="C52" s="5" t="s">
        <v>789</v>
      </c>
      <c r="D52" s="5"/>
      <c r="E52" s="5"/>
      <c r="F52" s="5" t="n">
        <v>0</v>
      </c>
      <c r="G52" s="5" t="s">
        <v>740</v>
      </c>
      <c r="H52" s="5" t="s">
        <v>71</v>
      </c>
      <c r="I52" s="5"/>
      <c r="J52" s="5"/>
      <c r="K52" s="5"/>
    </row>
    <row r="53" customFormat="false" ht="15" hidden="false" customHeight="false" outlineLevel="0" collapsed="false">
      <c r="A53" s="5" t="s">
        <v>401</v>
      </c>
      <c r="B53" s="5"/>
      <c r="C53" s="5" t="s">
        <v>790</v>
      </c>
      <c r="D53" s="5"/>
      <c r="E53" s="5"/>
      <c r="F53" s="5" t="n">
        <v>0</v>
      </c>
      <c r="G53" s="5" t="s">
        <v>740</v>
      </c>
      <c r="H53" s="5" t="s">
        <v>71</v>
      </c>
      <c r="I53" s="5"/>
      <c r="J53" s="5"/>
      <c r="K53" s="5"/>
    </row>
    <row r="54" customFormat="false" ht="15" hidden="false" customHeight="false" outlineLevel="0" collapsed="false">
      <c r="A54" s="5" t="s">
        <v>401</v>
      </c>
      <c r="B54" s="5"/>
      <c r="C54" s="5" t="s">
        <v>791</v>
      </c>
      <c r="D54" s="5"/>
      <c r="E54" s="5"/>
      <c r="F54" s="5" t="n">
        <v>0</v>
      </c>
      <c r="G54" s="5" t="s">
        <v>740</v>
      </c>
      <c r="H54" s="5" t="s">
        <v>71</v>
      </c>
      <c r="I54" s="5"/>
      <c r="J54" s="5"/>
      <c r="K54" s="5"/>
    </row>
    <row r="55" customFormat="false" ht="15" hidden="false" customHeight="false" outlineLevel="0" collapsed="false">
      <c r="A55" s="5" t="s">
        <v>401</v>
      </c>
      <c r="B55" s="5"/>
      <c r="C55" s="5" t="s">
        <v>792</v>
      </c>
      <c r="D55" s="5"/>
      <c r="E55" s="5"/>
      <c r="F55" s="5" t="n">
        <v>0</v>
      </c>
      <c r="G55" s="5" t="s">
        <v>740</v>
      </c>
      <c r="H55" s="5" t="s">
        <v>71</v>
      </c>
      <c r="I55" s="5"/>
      <c r="J55" s="5"/>
      <c r="K55" s="5"/>
    </row>
    <row r="56" customFormat="false" ht="15" hidden="false" customHeight="false" outlineLevel="0" collapsed="false">
      <c r="A56" s="5" t="s">
        <v>401</v>
      </c>
      <c r="B56" s="5"/>
      <c r="C56" s="5" t="s">
        <v>793</v>
      </c>
      <c r="D56" s="5"/>
      <c r="E56" s="5"/>
      <c r="F56" s="5" t="n">
        <v>0</v>
      </c>
      <c r="G56" s="5" t="s">
        <v>740</v>
      </c>
      <c r="H56" s="5" t="s">
        <v>71</v>
      </c>
      <c r="I56" s="5"/>
      <c r="J56" s="5"/>
      <c r="K56" s="5"/>
    </row>
    <row r="57" customFormat="false" ht="15" hidden="false" customHeight="false" outlineLevel="0" collapsed="false">
      <c r="A57" s="5" t="s">
        <v>401</v>
      </c>
      <c r="B57" s="5"/>
      <c r="C57" s="5" t="s">
        <v>794</v>
      </c>
      <c r="D57" s="5"/>
      <c r="E57" s="5"/>
      <c r="F57" s="5" t="n">
        <v>0</v>
      </c>
      <c r="G57" s="5" t="s">
        <v>740</v>
      </c>
      <c r="H57" s="5" t="s">
        <v>71</v>
      </c>
      <c r="I57" s="5"/>
      <c r="J57" s="5"/>
      <c r="K57" s="5"/>
    </row>
    <row r="58" customFormat="false" ht="23.85" hidden="false" customHeight="false" outlineLevel="0" collapsed="false">
      <c r="A58" s="5" t="s">
        <v>225</v>
      </c>
      <c r="B58" s="5" t="s">
        <v>795</v>
      </c>
      <c r="C58" s="5" t="s">
        <v>210</v>
      </c>
      <c r="D58" s="5"/>
      <c r="E58" s="5"/>
      <c r="F58" s="5" t="n">
        <v>0</v>
      </c>
      <c r="G58" s="5" t="s">
        <v>740</v>
      </c>
      <c r="H58" s="5" t="s">
        <v>71</v>
      </c>
      <c r="I58" s="5" t="n">
        <v>1</v>
      </c>
      <c r="J58" s="5" t="s">
        <v>210</v>
      </c>
      <c r="K58" s="7" t="s">
        <v>796</v>
      </c>
    </row>
    <row r="59" customFormat="false" ht="23.85" hidden="false" customHeight="false" outlineLevel="0" collapsed="false">
      <c r="A59" s="5" t="s">
        <v>225</v>
      </c>
      <c r="B59" s="5" t="s">
        <v>797</v>
      </c>
      <c r="C59" s="5" t="s">
        <v>207</v>
      </c>
      <c r="D59" s="5"/>
      <c r="E59" s="5"/>
      <c r="F59" s="5" t="n">
        <v>0</v>
      </c>
      <c r="G59" s="5" t="s">
        <v>740</v>
      </c>
      <c r="H59" s="5" t="s">
        <v>71</v>
      </c>
      <c r="I59" s="5" t="n">
        <v>2</v>
      </c>
      <c r="J59" s="5" t="s">
        <v>210</v>
      </c>
      <c r="K59" s="7" t="s">
        <v>796</v>
      </c>
    </row>
    <row r="60" customFormat="false" ht="23.85" hidden="false" customHeight="false" outlineLevel="0" collapsed="false">
      <c r="A60" s="5" t="s">
        <v>338</v>
      </c>
      <c r="B60" s="5" t="s">
        <v>795</v>
      </c>
      <c r="C60" s="5" t="s">
        <v>210</v>
      </c>
      <c r="D60" s="5"/>
      <c r="E60" s="5"/>
      <c r="F60" s="5" t="n">
        <v>0</v>
      </c>
      <c r="G60" s="5" t="s">
        <v>740</v>
      </c>
      <c r="H60" s="5" t="s">
        <v>71</v>
      </c>
      <c r="I60" s="5" t="n">
        <v>1</v>
      </c>
      <c r="J60" s="5" t="s">
        <v>210</v>
      </c>
      <c r="K60" s="7" t="s">
        <v>796</v>
      </c>
    </row>
    <row r="61" customFormat="false" ht="23.85" hidden="false" customHeight="false" outlineLevel="0" collapsed="false">
      <c r="A61" s="5" t="s">
        <v>338</v>
      </c>
      <c r="B61" s="5" t="s">
        <v>797</v>
      </c>
      <c r="C61" s="5" t="s">
        <v>207</v>
      </c>
      <c r="D61" s="5"/>
      <c r="E61" s="5"/>
      <c r="F61" s="5" t="n">
        <v>0</v>
      </c>
      <c r="G61" s="5" t="s">
        <v>740</v>
      </c>
      <c r="H61" s="5" t="s">
        <v>71</v>
      </c>
      <c r="I61" s="5" t="n">
        <v>2</v>
      </c>
      <c r="J61" s="5" t="s">
        <v>210</v>
      </c>
      <c r="K61" s="7" t="s">
        <v>796</v>
      </c>
    </row>
    <row r="62" customFormat="false" ht="23.85" hidden="false" customHeight="false" outlineLevel="0" collapsed="false">
      <c r="A62" s="5" t="s">
        <v>234</v>
      </c>
      <c r="B62" s="5" t="s">
        <v>798</v>
      </c>
      <c r="C62" s="5" t="s">
        <v>799</v>
      </c>
      <c r="D62" s="5"/>
      <c r="E62" s="5"/>
      <c r="F62" s="5" t="n">
        <v>0</v>
      </c>
      <c r="G62" s="5" t="s">
        <v>740</v>
      </c>
      <c r="H62" s="5" t="s">
        <v>71</v>
      </c>
      <c r="I62" s="5" t="n">
        <v>1</v>
      </c>
      <c r="J62" s="5" t="s">
        <v>210</v>
      </c>
      <c r="K62" s="7" t="s">
        <v>796</v>
      </c>
    </row>
    <row r="63" customFormat="false" ht="23.85" hidden="false" customHeight="false" outlineLevel="0" collapsed="false">
      <c r="A63" s="5" t="s">
        <v>234</v>
      </c>
      <c r="B63" s="5" t="s">
        <v>800</v>
      </c>
      <c r="C63" s="5" t="s">
        <v>801</v>
      </c>
      <c r="D63" s="5"/>
      <c r="E63" s="5"/>
      <c r="F63" s="5" t="n">
        <v>0</v>
      </c>
      <c r="G63" s="5" t="s">
        <v>740</v>
      </c>
      <c r="H63" s="5" t="s">
        <v>71</v>
      </c>
      <c r="I63" s="5" t="n">
        <v>2</v>
      </c>
      <c r="J63" s="5" t="s">
        <v>210</v>
      </c>
      <c r="K63" s="7" t="s">
        <v>796</v>
      </c>
    </row>
    <row r="64" customFormat="false" ht="23.85" hidden="false" customHeight="false" outlineLevel="0" collapsed="false">
      <c r="A64" s="5" t="s">
        <v>457</v>
      </c>
      <c r="B64" s="5" t="s">
        <v>802</v>
      </c>
      <c r="C64" s="5" t="s">
        <v>803</v>
      </c>
      <c r="D64" s="5"/>
      <c r="E64" s="5"/>
      <c r="F64" s="5" t="n">
        <v>0</v>
      </c>
      <c r="G64" s="5" t="s">
        <v>740</v>
      </c>
      <c r="H64" s="5" t="s">
        <v>71</v>
      </c>
      <c r="I64" s="5" t="n">
        <v>1</v>
      </c>
      <c r="J64" s="5" t="s">
        <v>210</v>
      </c>
      <c r="K64" s="7" t="s">
        <v>796</v>
      </c>
    </row>
    <row r="65" customFormat="false" ht="23.85" hidden="false" customHeight="false" outlineLevel="0" collapsed="false">
      <c r="A65" s="5" t="s">
        <v>457</v>
      </c>
      <c r="B65" s="5" t="s">
        <v>804</v>
      </c>
      <c r="C65" s="5" t="s">
        <v>805</v>
      </c>
      <c r="D65" s="5"/>
      <c r="E65" s="5"/>
      <c r="F65" s="5" t="n">
        <v>0</v>
      </c>
      <c r="G65" s="5" t="s">
        <v>740</v>
      </c>
      <c r="H65" s="5" t="s">
        <v>71</v>
      </c>
      <c r="I65" s="5" t="n">
        <v>2</v>
      </c>
      <c r="J65" s="5" t="s">
        <v>210</v>
      </c>
      <c r="K65" s="7" t="s">
        <v>796</v>
      </c>
    </row>
    <row r="66" customFormat="false" ht="23.85" hidden="false" customHeight="false" outlineLevel="0" collapsed="false">
      <c r="A66" s="5" t="s">
        <v>457</v>
      </c>
      <c r="B66" s="5" t="s">
        <v>806</v>
      </c>
      <c r="C66" s="5" t="s">
        <v>807</v>
      </c>
      <c r="D66" s="5"/>
      <c r="E66" s="5"/>
      <c r="F66" s="5" t="n">
        <v>0</v>
      </c>
      <c r="G66" s="5" t="s">
        <v>740</v>
      </c>
      <c r="H66" s="5" t="s">
        <v>71</v>
      </c>
      <c r="I66" s="5" t="n">
        <v>3</v>
      </c>
      <c r="J66" s="5" t="s">
        <v>210</v>
      </c>
      <c r="K66" s="7" t="s">
        <v>796</v>
      </c>
    </row>
    <row r="67" customFormat="false" ht="23.85" hidden="false" customHeight="false" outlineLevel="0" collapsed="false">
      <c r="A67" s="5" t="s">
        <v>266</v>
      </c>
      <c r="B67" s="5" t="s">
        <v>804</v>
      </c>
      <c r="C67" s="5" t="s">
        <v>805</v>
      </c>
      <c r="D67" s="5"/>
      <c r="E67" s="5"/>
      <c r="F67" s="5" t="n">
        <v>0</v>
      </c>
      <c r="G67" s="5" t="s">
        <v>740</v>
      </c>
      <c r="H67" s="5" t="s">
        <v>71</v>
      </c>
      <c r="I67" s="5" t="n">
        <v>1</v>
      </c>
      <c r="J67" s="5" t="s">
        <v>210</v>
      </c>
      <c r="K67" s="7" t="s">
        <v>796</v>
      </c>
    </row>
    <row r="68" customFormat="false" ht="23.85" hidden="false" customHeight="false" outlineLevel="0" collapsed="false">
      <c r="A68" s="5" t="s">
        <v>266</v>
      </c>
      <c r="B68" s="5" t="s">
        <v>808</v>
      </c>
      <c r="C68" s="5" t="s">
        <v>809</v>
      </c>
      <c r="D68" s="5"/>
      <c r="E68" s="5"/>
      <c r="F68" s="5" t="n">
        <v>0</v>
      </c>
      <c r="G68" s="5" t="s">
        <v>740</v>
      </c>
      <c r="H68" s="5" t="s">
        <v>71</v>
      </c>
      <c r="I68" s="5" t="n">
        <v>2</v>
      </c>
      <c r="J68" s="5" t="s">
        <v>210</v>
      </c>
      <c r="K68" s="7" t="s">
        <v>796</v>
      </c>
    </row>
    <row r="69" customFormat="false" ht="23.85" hidden="false" customHeight="false" outlineLevel="0" collapsed="false">
      <c r="A69" s="5" t="s">
        <v>266</v>
      </c>
      <c r="B69" s="5" t="s">
        <v>806</v>
      </c>
      <c r="C69" s="5" t="s">
        <v>810</v>
      </c>
      <c r="D69" s="5"/>
      <c r="E69" s="5"/>
      <c r="F69" s="5" t="n">
        <v>0</v>
      </c>
      <c r="G69" s="5" t="s">
        <v>740</v>
      </c>
      <c r="H69" s="5" t="s">
        <v>71</v>
      </c>
      <c r="I69" s="5" t="n">
        <v>3</v>
      </c>
      <c r="J69" s="5" t="s">
        <v>210</v>
      </c>
      <c r="K69" s="7" t="s">
        <v>796</v>
      </c>
    </row>
    <row r="70" customFormat="false" ht="23.85" hidden="false" customHeight="false" outlineLevel="0" collapsed="false">
      <c r="A70" s="5" t="s">
        <v>266</v>
      </c>
      <c r="B70" s="5" t="s">
        <v>811</v>
      </c>
      <c r="C70" s="5" t="s">
        <v>267</v>
      </c>
      <c r="D70" s="5"/>
      <c r="E70" s="5"/>
      <c r="F70" s="5" t="n">
        <v>4</v>
      </c>
      <c r="G70" s="5" t="s">
        <v>740</v>
      </c>
      <c r="H70" s="5" t="s">
        <v>71</v>
      </c>
      <c r="I70" s="5" t="n">
        <v>4</v>
      </c>
      <c r="J70" s="5" t="s">
        <v>210</v>
      </c>
      <c r="K70" s="7" t="s">
        <v>796</v>
      </c>
    </row>
    <row r="71" customFormat="false" ht="23.85" hidden="false" customHeight="false" outlineLevel="0" collapsed="false">
      <c r="A71" s="5" t="s">
        <v>266</v>
      </c>
      <c r="B71" s="5" t="s">
        <v>812</v>
      </c>
      <c r="C71" s="5" t="s">
        <v>813</v>
      </c>
      <c r="D71" s="5"/>
      <c r="E71" s="5"/>
      <c r="F71" s="5" t="n">
        <v>0</v>
      </c>
      <c r="G71" s="5" t="s">
        <v>740</v>
      </c>
      <c r="H71" s="5" t="s">
        <v>71</v>
      </c>
      <c r="I71" s="5" t="n">
        <v>5</v>
      </c>
      <c r="J71" s="5" t="s">
        <v>210</v>
      </c>
      <c r="K71" s="7" t="s">
        <v>796</v>
      </c>
    </row>
    <row r="72" customFormat="false" ht="23.85" hidden="false" customHeight="false" outlineLevel="0" collapsed="false">
      <c r="A72" s="5" t="s">
        <v>266</v>
      </c>
      <c r="B72" s="5" t="s">
        <v>814</v>
      </c>
      <c r="C72" s="5" t="s">
        <v>815</v>
      </c>
      <c r="D72" s="5"/>
      <c r="E72" s="5"/>
      <c r="F72" s="5" t="n">
        <v>0</v>
      </c>
      <c r="G72" s="5" t="s">
        <v>740</v>
      </c>
      <c r="H72" s="5" t="s">
        <v>71</v>
      </c>
      <c r="I72" s="5" t="n">
        <v>6</v>
      </c>
      <c r="J72" s="5" t="s">
        <v>210</v>
      </c>
      <c r="K72" s="7" t="s">
        <v>796</v>
      </c>
    </row>
    <row r="73" customFormat="false" ht="23.85" hidden="false" customHeight="false" outlineLevel="0" collapsed="false">
      <c r="A73" s="5" t="s">
        <v>266</v>
      </c>
      <c r="B73" s="5" t="s">
        <v>816</v>
      </c>
      <c r="C73" s="5" t="s">
        <v>817</v>
      </c>
      <c r="D73" s="5"/>
      <c r="E73" s="5"/>
      <c r="F73" s="5" t="n">
        <v>0</v>
      </c>
      <c r="G73" s="5" t="s">
        <v>740</v>
      </c>
      <c r="H73" s="5" t="s">
        <v>71</v>
      </c>
      <c r="I73" s="5" t="n">
        <v>7</v>
      </c>
      <c r="J73" s="5" t="s">
        <v>210</v>
      </c>
      <c r="K73" s="7" t="s">
        <v>796</v>
      </c>
    </row>
    <row r="74" customFormat="false" ht="57.45" hidden="false" customHeight="false" outlineLevel="0" collapsed="false">
      <c r="A74" s="5" t="s">
        <v>331</v>
      </c>
      <c r="B74" s="5" t="s">
        <v>818</v>
      </c>
      <c r="C74" s="5" t="s">
        <v>819</v>
      </c>
      <c r="D74" s="5" t="s">
        <v>820</v>
      </c>
      <c r="E74" s="5"/>
      <c r="F74" s="5" t="n">
        <v>0</v>
      </c>
      <c r="G74" s="5" t="s">
        <v>740</v>
      </c>
      <c r="H74" s="5" t="s">
        <v>71</v>
      </c>
      <c r="I74" s="5" t="n">
        <v>1</v>
      </c>
      <c r="J74" s="5" t="s">
        <v>210</v>
      </c>
      <c r="K74" s="7" t="s">
        <v>796</v>
      </c>
    </row>
    <row r="75" customFormat="false" ht="35.05" hidden="false" customHeight="false" outlineLevel="0" collapsed="false">
      <c r="A75" s="5" t="s">
        <v>331</v>
      </c>
      <c r="B75" s="5" t="s">
        <v>821</v>
      </c>
      <c r="C75" s="5" t="s">
        <v>332</v>
      </c>
      <c r="D75" s="5" t="s">
        <v>822</v>
      </c>
      <c r="E75" s="5"/>
      <c r="F75" s="5" t="n">
        <v>0</v>
      </c>
      <c r="G75" s="5" t="s">
        <v>740</v>
      </c>
      <c r="H75" s="5" t="s">
        <v>71</v>
      </c>
      <c r="I75" s="5" t="n">
        <v>2</v>
      </c>
      <c r="J75" s="5" t="s">
        <v>210</v>
      </c>
      <c r="K75" s="7" t="s">
        <v>796</v>
      </c>
    </row>
    <row r="76" customFormat="false" ht="46.25" hidden="false" customHeight="false" outlineLevel="0" collapsed="false">
      <c r="A76" s="5" t="s">
        <v>297</v>
      </c>
      <c r="B76" s="5" t="s">
        <v>823</v>
      </c>
      <c r="C76" s="5" t="s">
        <v>824</v>
      </c>
      <c r="D76" s="5" t="s">
        <v>825</v>
      </c>
      <c r="E76" s="5"/>
      <c r="F76" s="5" t="n">
        <v>0</v>
      </c>
      <c r="G76" s="5" t="s">
        <v>740</v>
      </c>
      <c r="H76" s="5" t="s">
        <v>71</v>
      </c>
      <c r="I76" s="5" t="n">
        <v>1</v>
      </c>
      <c r="J76" s="5" t="s">
        <v>210</v>
      </c>
      <c r="K76" s="7" t="s">
        <v>796</v>
      </c>
    </row>
    <row r="77" customFormat="false" ht="23.85" hidden="false" customHeight="false" outlineLevel="0" collapsed="false">
      <c r="A77" s="5" t="s">
        <v>297</v>
      </c>
      <c r="B77" s="5" t="s">
        <v>826</v>
      </c>
      <c r="C77" s="5" t="s">
        <v>827</v>
      </c>
      <c r="D77" s="5" t="s">
        <v>828</v>
      </c>
      <c r="E77" s="5"/>
      <c r="F77" s="5" t="n">
        <v>0</v>
      </c>
      <c r="G77" s="5" t="s">
        <v>740</v>
      </c>
      <c r="H77" s="5" t="s">
        <v>71</v>
      </c>
      <c r="I77" s="5" t="n">
        <v>2</v>
      </c>
      <c r="J77" s="5" t="s">
        <v>210</v>
      </c>
      <c r="K77" s="7" t="s">
        <v>796</v>
      </c>
    </row>
    <row r="78" customFormat="false" ht="23.85" hidden="false" customHeight="false" outlineLevel="0" collapsed="false">
      <c r="A78" s="5" t="s">
        <v>552</v>
      </c>
      <c r="B78" s="5" t="s">
        <v>829</v>
      </c>
      <c r="C78" s="5" t="s">
        <v>553</v>
      </c>
      <c r="D78" s="5"/>
      <c r="E78" s="5"/>
      <c r="F78" s="5" t="n">
        <v>0</v>
      </c>
      <c r="G78" s="5" t="s">
        <v>740</v>
      </c>
      <c r="H78" s="5" t="s">
        <v>71</v>
      </c>
      <c r="I78" s="5" t="n">
        <v>1</v>
      </c>
      <c r="J78" s="5" t="s">
        <v>210</v>
      </c>
      <c r="K78" s="7" t="s">
        <v>796</v>
      </c>
    </row>
    <row r="79" customFormat="false" ht="23.85" hidden="false" customHeight="false" outlineLevel="0" collapsed="false">
      <c r="A79" s="5" t="s">
        <v>552</v>
      </c>
      <c r="B79" s="5" t="s">
        <v>830</v>
      </c>
      <c r="C79" s="5" t="s">
        <v>831</v>
      </c>
      <c r="D79" s="5"/>
      <c r="E79" s="5"/>
      <c r="F79" s="5" t="n">
        <v>0</v>
      </c>
      <c r="G79" s="5" t="s">
        <v>740</v>
      </c>
      <c r="H79" s="5" t="s">
        <v>71</v>
      </c>
      <c r="I79" s="5" t="n">
        <v>2</v>
      </c>
      <c r="J79" s="5" t="s">
        <v>210</v>
      </c>
      <c r="K79" s="7" t="s">
        <v>796</v>
      </c>
    </row>
    <row r="80" customFormat="false" ht="23.85" hidden="false" customHeight="false" outlineLevel="0" collapsed="false">
      <c r="A80" s="5" t="s">
        <v>552</v>
      </c>
      <c r="B80" s="5" t="s">
        <v>832</v>
      </c>
      <c r="C80" s="5" t="s">
        <v>833</v>
      </c>
      <c r="D80" s="5"/>
      <c r="E80" s="5"/>
      <c r="F80" s="5" t="n">
        <v>0</v>
      </c>
      <c r="G80" s="5" t="s">
        <v>740</v>
      </c>
      <c r="H80" s="5" t="s">
        <v>71</v>
      </c>
      <c r="I80" s="5" t="n">
        <v>3</v>
      </c>
      <c r="J80" s="5" t="s">
        <v>210</v>
      </c>
      <c r="K80" s="7" t="s">
        <v>796</v>
      </c>
    </row>
    <row r="81" customFormat="false" ht="23.85" hidden="false" customHeight="false" outlineLevel="0" collapsed="false">
      <c r="A81" s="5" t="s">
        <v>552</v>
      </c>
      <c r="B81" s="5" t="s">
        <v>834</v>
      </c>
      <c r="C81" s="5" t="s">
        <v>835</v>
      </c>
      <c r="D81" s="5"/>
      <c r="E81" s="5"/>
      <c r="F81" s="5" t="n">
        <v>0</v>
      </c>
      <c r="G81" s="5" t="s">
        <v>740</v>
      </c>
      <c r="H81" s="5" t="s">
        <v>71</v>
      </c>
      <c r="I81" s="5" t="n">
        <v>4</v>
      </c>
      <c r="J81" s="5" t="s">
        <v>210</v>
      </c>
      <c r="K81" s="7" t="s">
        <v>796</v>
      </c>
    </row>
    <row r="82" customFormat="false" ht="23.85" hidden="false" customHeight="false" outlineLevel="0" collapsed="false">
      <c r="A82" s="5" t="s">
        <v>552</v>
      </c>
      <c r="B82" s="5" t="s">
        <v>836</v>
      </c>
      <c r="C82" s="5" t="s">
        <v>837</v>
      </c>
      <c r="D82" s="5"/>
      <c r="E82" s="5"/>
      <c r="F82" s="5" t="n">
        <v>0</v>
      </c>
      <c r="G82" s="5" t="s">
        <v>740</v>
      </c>
      <c r="H82" s="5" t="s">
        <v>71</v>
      </c>
      <c r="I82" s="5" t="n">
        <v>5</v>
      </c>
      <c r="J82" s="5" t="s">
        <v>210</v>
      </c>
      <c r="K82" s="7" t="s">
        <v>796</v>
      </c>
    </row>
    <row r="83" customFormat="false" ht="23.85" hidden="false" customHeight="false" outlineLevel="0" collapsed="false">
      <c r="A83" s="5" t="s">
        <v>552</v>
      </c>
      <c r="B83" s="5" t="s">
        <v>838</v>
      </c>
      <c r="C83" s="5" t="s">
        <v>558</v>
      </c>
      <c r="D83" s="5"/>
      <c r="E83" s="5"/>
      <c r="F83" s="5" t="n">
        <v>0</v>
      </c>
      <c r="G83" s="5" t="s">
        <v>740</v>
      </c>
      <c r="H83" s="5" t="s">
        <v>71</v>
      </c>
      <c r="I83" s="5" t="n">
        <v>6</v>
      </c>
      <c r="J83" s="5" t="s">
        <v>210</v>
      </c>
      <c r="K83" s="7" t="s">
        <v>796</v>
      </c>
    </row>
    <row r="84" customFormat="false" ht="23.85" hidden="false" customHeight="false" outlineLevel="0" collapsed="false">
      <c r="A84" s="5" t="s">
        <v>839</v>
      </c>
      <c r="B84" s="5" t="s">
        <v>840</v>
      </c>
      <c r="C84" s="5" t="s">
        <v>841</v>
      </c>
      <c r="D84" s="5"/>
      <c r="E84" s="5"/>
      <c r="F84" s="5" t="n">
        <v>0</v>
      </c>
      <c r="G84" s="5" t="s">
        <v>740</v>
      </c>
      <c r="H84" s="5" t="s">
        <v>71</v>
      </c>
      <c r="I84" s="5" t="n">
        <v>1</v>
      </c>
      <c r="J84" s="5" t="s">
        <v>210</v>
      </c>
      <c r="K84" s="7" t="s">
        <v>796</v>
      </c>
    </row>
    <row r="85" customFormat="false" ht="23.85" hidden="false" customHeight="false" outlineLevel="0" collapsed="false">
      <c r="A85" s="5" t="s">
        <v>839</v>
      </c>
      <c r="B85" s="5" t="s">
        <v>842</v>
      </c>
      <c r="C85" s="5" t="s">
        <v>843</v>
      </c>
      <c r="D85" s="5"/>
      <c r="E85" s="5"/>
      <c r="F85" s="5" t="n">
        <v>0</v>
      </c>
      <c r="G85" s="5" t="s">
        <v>740</v>
      </c>
      <c r="H85" s="5" t="s">
        <v>71</v>
      </c>
      <c r="I85" s="5" t="n">
        <v>2</v>
      </c>
      <c r="J85" s="5" t="s">
        <v>210</v>
      </c>
      <c r="K85" s="7" t="s">
        <v>796</v>
      </c>
    </row>
    <row r="86" customFormat="false" ht="23.85" hidden="false" customHeight="false" outlineLevel="0" collapsed="false">
      <c r="A86" s="5" t="s">
        <v>844</v>
      </c>
      <c r="B86" s="5" t="s">
        <v>370</v>
      </c>
      <c r="C86" s="5" t="s">
        <v>420</v>
      </c>
      <c r="D86" s="5"/>
      <c r="E86" s="5"/>
      <c r="F86" s="5" t="n">
        <v>0</v>
      </c>
      <c r="G86" s="5" t="s">
        <v>740</v>
      </c>
      <c r="H86" s="5" t="s">
        <v>71</v>
      </c>
      <c r="I86" s="5" t="n">
        <v>1</v>
      </c>
      <c r="J86" s="5" t="s">
        <v>210</v>
      </c>
      <c r="K86" s="7" t="s">
        <v>796</v>
      </c>
    </row>
    <row r="87" customFormat="false" ht="23.85" hidden="false" customHeight="false" outlineLevel="0" collapsed="false">
      <c r="A87" s="5" t="s">
        <v>844</v>
      </c>
      <c r="B87" s="5" t="s">
        <v>845</v>
      </c>
      <c r="C87" s="5" t="s">
        <v>846</v>
      </c>
      <c r="D87" s="5"/>
      <c r="E87" s="5"/>
      <c r="F87" s="5" t="n">
        <v>0</v>
      </c>
      <c r="G87" s="5" t="s">
        <v>740</v>
      </c>
      <c r="H87" s="5" t="s">
        <v>71</v>
      </c>
      <c r="I87" s="5" t="n">
        <v>2</v>
      </c>
      <c r="J87" s="5" t="s">
        <v>210</v>
      </c>
      <c r="K87" s="7" t="s">
        <v>796</v>
      </c>
    </row>
    <row r="88" customFormat="false" ht="23.85" hidden="false" customHeight="false" outlineLevel="0" collapsed="false">
      <c r="A88" s="5" t="s">
        <v>844</v>
      </c>
      <c r="B88" s="5" t="s">
        <v>847</v>
      </c>
      <c r="C88" s="5" t="s">
        <v>382</v>
      </c>
      <c r="D88" s="5"/>
      <c r="E88" s="5"/>
      <c r="F88" s="5" t="n">
        <v>0</v>
      </c>
      <c r="G88" s="5" t="s">
        <v>740</v>
      </c>
      <c r="H88" s="5" t="s">
        <v>71</v>
      </c>
      <c r="I88" s="5" t="n">
        <v>3</v>
      </c>
      <c r="J88" s="5" t="s">
        <v>210</v>
      </c>
      <c r="K88" s="7" t="s">
        <v>796</v>
      </c>
    </row>
    <row r="89" customFormat="false" ht="23.85" hidden="false" customHeight="false" outlineLevel="0" collapsed="false">
      <c r="A89" s="5" t="s">
        <v>844</v>
      </c>
      <c r="B89" s="5" t="s">
        <v>848</v>
      </c>
      <c r="C89" s="5" t="s">
        <v>849</v>
      </c>
      <c r="D89" s="5"/>
      <c r="E89" s="5"/>
      <c r="F89" s="5" t="n">
        <v>0</v>
      </c>
      <c r="G89" s="5" t="s">
        <v>740</v>
      </c>
      <c r="H89" s="5" t="s">
        <v>71</v>
      </c>
      <c r="I89" s="5" t="n">
        <v>4</v>
      </c>
      <c r="J89" s="5" t="s">
        <v>210</v>
      </c>
      <c r="K89" s="7" t="s">
        <v>796</v>
      </c>
    </row>
    <row r="90" customFormat="false" ht="23.85" hidden="false" customHeight="false" outlineLevel="0" collapsed="false">
      <c r="A90" s="5" t="s">
        <v>850</v>
      </c>
      <c r="B90" s="5" t="s">
        <v>851</v>
      </c>
      <c r="C90" s="5" t="s">
        <v>724</v>
      </c>
      <c r="D90" s="5"/>
      <c r="E90" s="5"/>
      <c r="F90" s="5" t="n">
        <v>0</v>
      </c>
      <c r="G90" s="5" t="s">
        <v>740</v>
      </c>
      <c r="H90" s="5" t="s">
        <v>71</v>
      </c>
      <c r="I90" s="5" t="n">
        <v>1</v>
      </c>
      <c r="J90" s="5" t="s">
        <v>210</v>
      </c>
      <c r="K90" s="7" t="s">
        <v>796</v>
      </c>
    </row>
    <row r="91" customFormat="false" ht="23.85" hidden="false" customHeight="false" outlineLevel="0" collapsed="false">
      <c r="A91" s="5" t="s">
        <v>850</v>
      </c>
      <c r="B91" s="5" t="s">
        <v>852</v>
      </c>
      <c r="C91" s="5" t="s">
        <v>853</v>
      </c>
      <c r="D91" s="5"/>
      <c r="E91" s="5"/>
      <c r="F91" s="5" t="n">
        <v>0</v>
      </c>
      <c r="G91" s="5" t="s">
        <v>740</v>
      </c>
      <c r="H91" s="5" t="s">
        <v>71</v>
      </c>
      <c r="I91" s="5" t="n">
        <v>2</v>
      </c>
      <c r="J91" s="5" t="s">
        <v>210</v>
      </c>
      <c r="K91" s="7" t="s">
        <v>796</v>
      </c>
    </row>
    <row r="92" customFormat="false" ht="23.85" hidden="false" customHeight="false" outlineLevel="0" collapsed="false">
      <c r="A92" s="5" t="s">
        <v>850</v>
      </c>
      <c r="B92" s="5" t="s">
        <v>854</v>
      </c>
      <c r="C92" s="5" t="s">
        <v>855</v>
      </c>
      <c r="D92" s="5"/>
      <c r="E92" s="5"/>
      <c r="F92" s="5" t="n">
        <v>0</v>
      </c>
      <c r="G92" s="5" t="s">
        <v>740</v>
      </c>
      <c r="H92" s="5" t="s">
        <v>71</v>
      </c>
      <c r="I92" s="5" t="n">
        <v>3</v>
      </c>
      <c r="J92" s="5" t="s">
        <v>210</v>
      </c>
      <c r="K92" s="7" t="s">
        <v>796</v>
      </c>
    </row>
    <row r="93" customFormat="false" ht="23.85" hidden="false" customHeight="false" outlineLevel="0" collapsed="false">
      <c r="A93" s="5" t="s">
        <v>850</v>
      </c>
      <c r="B93" s="5" t="s">
        <v>856</v>
      </c>
      <c r="C93" s="5" t="s">
        <v>857</v>
      </c>
      <c r="D93" s="5"/>
      <c r="E93" s="5"/>
      <c r="F93" s="5" t="n">
        <v>0</v>
      </c>
      <c r="G93" s="5" t="s">
        <v>740</v>
      </c>
      <c r="H93" s="5" t="s">
        <v>71</v>
      </c>
      <c r="I93" s="5" t="n">
        <v>4</v>
      </c>
      <c r="J93" s="5" t="s">
        <v>210</v>
      </c>
      <c r="K93" s="7" t="s">
        <v>796</v>
      </c>
    </row>
    <row r="94" customFormat="false" ht="15" hidden="false" customHeight="false" outlineLevel="0" collapsed="false">
      <c r="A94" s="5" t="s">
        <v>728</v>
      </c>
      <c r="B94" s="5"/>
      <c r="C94" s="5" t="s">
        <v>858</v>
      </c>
      <c r="D94" s="5"/>
      <c r="E94" s="5"/>
      <c r="F94" s="5" t="n">
        <v>0</v>
      </c>
      <c r="G94" s="5" t="s">
        <v>740</v>
      </c>
      <c r="H94" s="5" t="s">
        <v>71</v>
      </c>
      <c r="I94" s="5"/>
      <c r="J94" s="5"/>
      <c r="K94" s="5"/>
    </row>
    <row r="95" customFormat="false" ht="15" hidden="false" customHeight="false" outlineLevel="0" collapsed="false">
      <c r="A95" s="5" t="s">
        <v>728</v>
      </c>
      <c r="B95" s="5"/>
      <c r="C95" s="5" t="s">
        <v>859</v>
      </c>
      <c r="D95" s="5"/>
      <c r="E95" s="5"/>
      <c r="F95" s="5" t="n">
        <v>0</v>
      </c>
      <c r="G95" s="5" t="s">
        <v>740</v>
      </c>
      <c r="H95" s="5" t="s">
        <v>71</v>
      </c>
      <c r="I95" s="5"/>
      <c r="J95" s="5"/>
      <c r="K95" s="5"/>
    </row>
    <row r="96" customFormat="false" ht="15" hidden="false" customHeight="false" outlineLevel="0" collapsed="false">
      <c r="A96" s="5" t="s">
        <v>728</v>
      </c>
      <c r="B96" s="5"/>
      <c r="C96" s="5" t="s">
        <v>860</v>
      </c>
      <c r="D96" s="5"/>
      <c r="E96" s="5"/>
      <c r="F96" s="5" t="n">
        <v>0</v>
      </c>
      <c r="G96" s="5" t="s">
        <v>740</v>
      </c>
      <c r="H96" s="5" t="s">
        <v>71</v>
      </c>
      <c r="I96" s="5"/>
      <c r="J96" s="5"/>
      <c r="K96" s="5"/>
    </row>
    <row r="97" customFormat="false" ht="15" hidden="false" customHeight="false" outlineLevel="0" collapsed="false">
      <c r="A97" s="5" t="s">
        <v>728</v>
      </c>
      <c r="B97" s="5"/>
      <c r="C97" s="5" t="s">
        <v>861</v>
      </c>
      <c r="D97" s="5"/>
      <c r="E97" s="5"/>
      <c r="F97" s="5" t="n">
        <v>0</v>
      </c>
      <c r="G97" s="5" t="s">
        <v>740</v>
      </c>
      <c r="H97" s="5" t="s">
        <v>71</v>
      </c>
      <c r="I97" s="5"/>
      <c r="J97" s="5"/>
      <c r="K97" s="5"/>
    </row>
    <row r="98" customFormat="false" ht="15" hidden="false" customHeight="false" outlineLevel="0" collapsed="false">
      <c r="A98" s="5" t="s">
        <v>728</v>
      </c>
      <c r="B98" s="5"/>
      <c r="C98" s="5" t="s">
        <v>862</v>
      </c>
      <c r="D98" s="5"/>
      <c r="E98" s="5"/>
      <c r="F98" s="5" t="n">
        <v>0</v>
      </c>
      <c r="G98" s="5" t="s">
        <v>740</v>
      </c>
      <c r="H98" s="5" t="s">
        <v>71</v>
      </c>
      <c r="I98" s="5"/>
      <c r="J98" s="5"/>
      <c r="K98" s="5"/>
    </row>
    <row r="99" customFormat="false" ht="15" hidden="false" customHeight="false" outlineLevel="0" collapsed="false">
      <c r="A99" s="5" t="s">
        <v>728</v>
      </c>
      <c r="B99" s="5"/>
      <c r="C99" s="5" t="s">
        <v>863</v>
      </c>
      <c r="D99" s="5"/>
      <c r="E99" s="5"/>
      <c r="F99" s="5" t="n">
        <v>0</v>
      </c>
      <c r="G99" s="5" t="s">
        <v>740</v>
      </c>
      <c r="H99" s="5" t="s">
        <v>71</v>
      </c>
      <c r="I99" s="5"/>
      <c r="J99" s="5"/>
      <c r="K99" s="5"/>
    </row>
    <row r="100" customFormat="false" ht="15" hidden="false" customHeight="false" outlineLevel="0" collapsed="false">
      <c r="A100" s="5" t="s">
        <v>728</v>
      </c>
      <c r="B100" s="5"/>
      <c r="C100" s="5" t="s">
        <v>864</v>
      </c>
      <c r="D100" s="5"/>
      <c r="E100" s="5"/>
      <c r="F100" s="5" t="n">
        <v>0</v>
      </c>
      <c r="G100" s="5" t="s">
        <v>740</v>
      </c>
      <c r="H100" s="5" t="s">
        <v>71</v>
      </c>
      <c r="I100" s="5"/>
      <c r="J100" s="5"/>
      <c r="K100" s="5"/>
    </row>
    <row r="101" customFormat="false" ht="15" hidden="false" customHeight="false" outlineLevel="0" collapsed="false">
      <c r="A101" s="5" t="s">
        <v>581</v>
      </c>
      <c r="B101" s="5"/>
      <c r="C101" s="5" t="s">
        <v>582</v>
      </c>
      <c r="D101" s="5" t="s">
        <v>865</v>
      </c>
      <c r="E101" s="5"/>
      <c r="F101" s="5" t="n">
        <v>25</v>
      </c>
      <c r="G101" s="5" t="s">
        <v>740</v>
      </c>
      <c r="H101" s="5" t="s">
        <v>71</v>
      </c>
      <c r="I101" s="5"/>
      <c r="J101" s="5"/>
      <c r="K101" s="5"/>
    </row>
    <row r="102" customFormat="false" ht="15" hidden="false" customHeight="false" outlineLevel="0" collapsed="false">
      <c r="A102" s="5" t="s">
        <v>581</v>
      </c>
      <c r="B102" s="5"/>
      <c r="C102" s="5" t="s">
        <v>866</v>
      </c>
      <c r="D102" s="5" t="s">
        <v>867</v>
      </c>
      <c r="E102" s="5"/>
      <c r="F102" s="5" t="n">
        <v>0</v>
      </c>
      <c r="G102" s="5" t="s">
        <v>740</v>
      </c>
      <c r="H102" s="5" t="s">
        <v>71</v>
      </c>
      <c r="I102" s="5"/>
      <c r="J102" s="5"/>
      <c r="K102" s="5"/>
    </row>
    <row r="103" customFormat="false" ht="15" hidden="false" customHeight="false" outlineLevel="0" collapsed="false">
      <c r="A103" s="5" t="s">
        <v>581</v>
      </c>
      <c r="B103" s="5"/>
      <c r="C103" s="5" t="s">
        <v>868</v>
      </c>
      <c r="D103" s="5" t="s">
        <v>869</v>
      </c>
      <c r="E103" s="5"/>
      <c r="F103" s="5" t="n">
        <v>0</v>
      </c>
      <c r="G103" s="5" t="s">
        <v>740</v>
      </c>
      <c r="H103" s="5" t="s">
        <v>71</v>
      </c>
      <c r="I103" s="5"/>
      <c r="J103" s="5"/>
      <c r="K103" s="5"/>
    </row>
    <row r="104" customFormat="false" ht="15" hidden="false" customHeight="false" outlineLevel="0" collapsed="false">
      <c r="A104" s="5" t="s">
        <v>581</v>
      </c>
      <c r="B104" s="5"/>
      <c r="C104" s="5" t="s">
        <v>870</v>
      </c>
      <c r="D104" s="5" t="s">
        <v>871</v>
      </c>
      <c r="E104" s="5"/>
      <c r="F104" s="5" t="n">
        <v>0</v>
      </c>
      <c r="G104" s="5" t="s">
        <v>740</v>
      </c>
      <c r="H104" s="5" t="s">
        <v>71</v>
      </c>
      <c r="I104" s="5"/>
      <c r="J104" s="5"/>
      <c r="K104" s="5"/>
    </row>
    <row r="105" customFormat="false" ht="15" hidden="false" customHeight="false" outlineLevel="0" collapsed="false">
      <c r="A105" s="5" t="s">
        <v>581</v>
      </c>
      <c r="B105" s="5"/>
      <c r="C105" s="5" t="s">
        <v>872</v>
      </c>
      <c r="D105" s="5" t="s">
        <v>873</v>
      </c>
      <c r="E105" s="5"/>
      <c r="F105" s="5" t="n">
        <v>0</v>
      </c>
      <c r="G105" s="5" t="s">
        <v>740</v>
      </c>
      <c r="H105" s="5" t="s">
        <v>71</v>
      </c>
      <c r="I105" s="5"/>
      <c r="J105" s="5"/>
      <c r="K105" s="5"/>
    </row>
    <row r="106" customFormat="false" ht="15" hidden="false" customHeight="false" outlineLevel="0" collapsed="false">
      <c r="A106" s="5" t="s">
        <v>574</v>
      </c>
      <c r="B106" s="5"/>
      <c r="C106" s="5" t="s">
        <v>874</v>
      </c>
      <c r="D106" s="5"/>
      <c r="E106" s="5"/>
      <c r="F106" s="5" t="n">
        <v>0</v>
      </c>
      <c r="G106" s="5" t="s">
        <v>740</v>
      </c>
      <c r="H106" s="5" t="s">
        <v>71</v>
      </c>
      <c r="I106" s="5"/>
      <c r="J106" s="5"/>
      <c r="K106" s="5"/>
    </row>
    <row r="107" customFormat="false" ht="15" hidden="false" customHeight="false" outlineLevel="0" collapsed="false">
      <c r="A107" s="5" t="s">
        <v>574</v>
      </c>
      <c r="B107" s="5"/>
      <c r="C107" s="5" t="s">
        <v>875</v>
      </c>
      <c r="D107" s="5"/>
      <c r="E107" s="5"/>
      <c r="F107" s="5" t="n">
        <v>0</v>
      </c>
      <c r="G107" s="5" t="s">
        <v>740</v>
      </c>
      <c r="H107" s="5" t="s">
        <v>71</v>
      </c>
      <c r="I107" s="5"/>
      <c r="J107" s="5"/>
      <c r="K107" s="5"/>
    </row>
    <row r="108" customFormat="false" ht="15" hidden="false" customHeight="false" outlineLevel="0" collapsed="false">
      <c r="A108" s="5" t="s">
        <v>574</v>
      </c>
      <c r="B108" s="5"/>
      <c r="C108" s="5" t="s">
        <v>876</v>
      </c>
      <c r="D108" s="5"/>
      <c r="E108" s="5"/>
      <c r="F108" s="5" t="n">
        <v>0</v>
      </c>
      <c r="G108" s="5" t="s">
        <v>740</v>
      </c>
      <c r="H108" s="5" t="s">
        <v>71</v>
      </c>
      <c r="I108" s="5"/>
      <c r="J108" s="5"/>
      <c r="K108" s="5"/>
    </row>
    <row r="109" customFormat="false" ht="15" hidden="false" customHeight="false" outlineLevel="0" collapsed="false">
      <c r="A109" s="5" t="s">
        <v>574</v>
      </c>
      <c r="B109" s="5"/>
      <c r="C109" s="5" t="s">
        <v>877</v>
      </c>
      <c r="D109" s="5"/>
      <c r="E109" s="5"/>
      <c r="F109" s="5" t="n">
        <v>0</v>
      </c>
      <c r="G109" s="5" t="s">
        <v>740</v>
      </c>
      <c r="H109" s="5" t="s">
        <v>71</v>
      </c>
      <c r="I109" s="5"/>
      <c r="J109" s="5"/>
      <c r="K109" s="5"/>
    </row>
    <row r="110" customFormat="false" ht="15" hidden="false" customHeight="false" outlineLevel="0" collapsed="false">
      <c r="A110" s="5" t="s">
        <v>574</v>
      </c>
      <c r="B110" s="5"/>
      <c r="C110" s="5" t="s">
        <v>878</v>
      </c>
      <c r="D110" s="5"/>
      <c r="E110" s="5"/>
      <c r="F110" s="5" t="n">
        <v>0</v>
      </c>
      <c r="G110" s="5" t="s">
        <v>740</v>
      </c>
      <c r="H110" s="5" t="s">
        <v>71</v>
      </c>
      <c r="I110" s="5"/>
      <c r="J110" s="5"/>
      <c r="K110" s="5"/>
    </row>
    <row r="111" customFormat="false" ht="15" hidden="false" customHeight="false" outlineLevel="0" collapsed="false">
      <c r="A111" s="5" t="s">
        <v>574</v>
      </c>
      <c r="B111" s="5"/>
      <c r="C111" s="5" t="s">
        <v>879</v>
      </c>
      <c r="D111" s="5"/>
      <c r="E111" s="5"/>
      <c r="F111" s="5" t="n">
        <v>0</v>
      </c>
      <c r="G111" s="5" t="s">
        <v>740</v>
      </c>
      <c r="H111" s="5" t="s">
        <v>71</v>
      </c>
      <c r="I111" s="5"/>
      <c r="J111" s="5"/>
      <c r="K111" s="5"/>
    </row>
    <row r="112" customFormat="false" ht="15" hidden="false" customHeight="false" outlineLevel="0" collapsed="false">
      <c r="A112" s="5" t="s">
        <v>574</v>
      </c>
      <c r="B112" s="5"/>
      <c r="C112" s="5" t="s">
        <v>880</v>
      </c>
      <c r="D112" s="5"/>
      <c r="E112" s="5"/>
      <c r="F112" s="5" t="n">
        <v>0</v>
      </c>
      <c r="G112" s="5" t="s">
        <v>740</v>
      </c>
      <c r="H112" s="5" t="s">
        <v>71</v>
      </c>
      <c r="I112" s="5"/>
      <c r="J112" s="5"/>
      <c r="K112" s="5"/>
    </row>
    <row r="113" customFormat="false" ht="15" hidden="false" customHeight="false" outlineLevel="0" collapsed="false">
      <c r="A113" s="5" t="s">
        <v>574</v>
      </c>
      <c r="B113" s="5"/>
      <c r="C113" s="5" t="s">
        <v>881</v>
      </c>
      <c r="D113" s="5"/>
      <c r="E113" s="5"/>
      <c r="F113" s="5" t="n">
        <v>0</v>
      </c>
      <c r="G113" s="5" t="s">
        <v>740</v>
      </c>
      <c r="H113" s="5" t="s">
        <v>71</v>
      </c>
      <c r="I113" s="5"/>
      <c r="J113" s="5"/>
      <c r="K113" s="5"/>
    </row>
    <row r="114" customFormat="false" ht="15" hidden="false" customHeight="false" outlineLevel="0" collapsed="false">
      <c r="A114" s="5" t="s">
        <v>612</v>
      </c>
      <c r="B114" s="5"/>
      <c r="C114" s="5" t="s">
        <v>882</v>
      </c>
      <c r="D114" s="5"/>
      <c r="E114" s="5"/>
      <c r="F114" s="5" t="n">
        <v>2</v>
      </c>
      <c r="G114" s="5" t="s">
        <v>740</v>
      </c>
      <c r="H114" s="5" t="s">
        <v>71</v>
      </c>
      <c r="I114" s="5"/>
      <c r="J114" s="5"/>
      <c r="K114" s="5"/>
    </row>
    <row r="115" customFormat="false" ht="15" hidden="false" customHeight="false" outlineLevel="0" collapsed="false">
      <c r="A115" s="5" t="s">
        <v>612</v>
      </c>
      <c r="B115" s="5"/>
      <c r="C115" s="5" t="s">
        <v>883</v>
      </c>
      <c r="D115" s="5"/>
      <c r="E115" s="5"/>
      <c r="F115" s="5" t="n">
        <v>1</v>
      </c>
      <c r="G115" s="5" t="s">
        <v>740</v>
      </c>
      <c r="H115" s="5" t="s">
        <v>71</v>
      </c>
      <c r="I115" s="5"/>
      <c r="J115" s="5"/>
      <c r="K115" s="5"/>
    </row>
    <row r="116" customFormat="false" ht="15" hidden="false" customHeight="false" outlineLevel="0" collapsed="false">
      <c r="A116" s="5" t="s">
        <v>612</v>
      </c>
      <c r="B116" s="5"/>
      <c r="C116" s="5" t="s">
        <v>884</v>
      </c>
      <c r="D116" s="5"/>
      <c r="E116" s="5"/>
      <c r="F116" s="5" t="n">
        <v>1</v>
      </c>
      <c r="G116" s="5" t="s">
        <v>740</v>
      </c>
      <c r="H116" s="5" t="s">
        <v>71</v>
      </c>
      <c r="I116" s="5"/>
      <c r="J116" s="5"/>
      <c r="K116" s="5"/>
    </row>
    <row r="117" customFormat="false" ht="15" hidden="false" customHeight="false" outlineLevel="0" collapsed="false">
      <c r="A117" s="5" t="s">
        <v>464</v>
      </c>
      <c r="B117" s="5"/>
      <c r="C117" s="5" t="s">
        <v>885</v>
      </c>
      <c r="D117" s="5"/>
      <c r="E117" s="5"/>
      <c r="F117" s="5" t="n">
        <v>0</v>
      </c>
      <c r="G117" s="5" t="s">
        <v>740</v>
      </c>
      <c r="H117" s="5" t="s">
        <v>71</v>
      </c>
      <c r="I117" s="5"/>
      <c r="J117" s="5"/>
      <c r="K117" s="7" t="s">
        <v>886</v>
      </c>
    </row>
    <row r="118" customFormat="false" ht="15" hidden="false" customHeight="false" outlineLevel="0" collapsed="false">
      <c r="A118" s="5" t="s">
        <v>464</v>
      </c>
      <c r="B118" s="5"/>
      <c r="C118" s="5" t="s">
        <v>887</v>
      </c>
      <c r="D118" s="5"/>
      <c r="E118" s="5"/>
      <c r="F118" s="5" t="n">
        <v>0</v>
      </c>
      <c r="G118" s="5" t="s">
        <v>740</v>
      </c>
      <c r="H118" s="5" t="s">
        <v>71</v>
      </c>
      <c r="I118" s="5"/>
      <c r="J118" s="5"/>
      <c r="K118" s="7" t="s">
        <v>886</v>
      </c>
    </row>
    <row r="119" customFormat="false" ht="15" hidden="false" customHeight="false" outlineLevel="0" collapsed="false">
      <c r="A119" s="5" t="s">
        <v>464</v>
      </c>
      <c r="B119" s="5"/>
      <c r="C119" s="5" t="s">
        <v>888</v>
      </c>
      <c r="D119" s="5"/>
      <c r="E119" s="5"/>
      <c r="F119" s="5" t="n">
        <v>0</v>
      </c>
      <c r="G119" s="5" t="s">
        <v>740</v>
      </c>
      <c r="H119" s="5" t="s">
        <v>71</v>
      </c>
      <c r="I119" s="5"/>
      <c r="J119" s="5"/>
      <c r="K119" s="7" t="s">
        <v>886</v>
      </c>
    </row>
    <row r="120" customFormat="false" ht="15" hidden="false" customHeight="false" outlineLevel="0" collapsed="false">
      <c r="A120" s="5" t="s">
        <v>464</v>
      </c>
      <c r="B120" s="5"/>
      <c r="C120" s="5" t="s">
        <v>889</v>
      </c>
      <c r="D120" s="5"/>
      <c r="E120" s="5"/>
      <c r="F120" s="5" t="n">
        <v>0</v>
      </c>
      <c r="G120" s="5" t="s">
        <v>740</v>
      </c>
      <c r="H120" s="5" t="s">
        <v>71</v>
      </c>
      <c r="I120" s="5"/>
      <c r="J120" s="5"/>
      <c r="K120" s="7" t="s">
        <v>886</v>
      </c>
    </row>
    <row r="121" customFormat="false" ht="23.85" hidden="false" customHeight="false" outlineLevel="0" collapsed="false">
      <c r="A121" s="5" t="s">
        <v>464</v>
      </c>
      <c r="B121" s="5"/>
      <c r="C121" s="5" t="s">
        <v>890</v>
      </c>
      <c r="D121" s="5"/>
      <c r="E121" s="5"/>
      <c r="F121" s="5" t="n">
        <v>0</v>
      </c>
      <c r="G121" s="5" t="s">
        <v>740</v>
      </c>
      <c r="H121" s="5" t="s">
        <v>71</v>
      </c>
      <c r="I121" s="5"/>
      <c r="J121" s="5"/>
      <c r="K121" s="7" t="s">
        <v>891</v>
      </c>
    </row>
    <row r="122" customFormat="false" ht="15" hidden="false" customHeight="false" outlineLevel="0" collapsed="false">
      <c r="A122" s="5" t="s">
        <v>464</v>
      </c>
      <c r="B122" s="5"/>
      <c r="C122" s="5" t="s">
        <v>892</v>
      </c>
      <c r="D122" s="5"/>
      <c r="E122" s="5"/>
      <c r="F122" s="5" t="n">
        <v>0</v>
      </c>
      <c r="G122" s="5" t="s">
        <v>740</v>
      </c>
      <c r="H122" s="5" t="s">
        <v>71</v>
      </c>
      <c r="I122" s="5"/>
      <c r="J122" s="5"/>
      <c r="K122" s="7" t="s">
        <v>886</v>
      </c>
    </row>
    <row r="123" customFormat="false" ht="15" hidden="false" customHeight="false" outlineLevel="0" collapsed="false">
      <c r="A123" s="5" t="s">
        <v>464</v>
      </c>
      <c r="B123" s="5"/>
      <c r="C123" s="5" t="s">
        <v>893</v>
      </c>
      <c r="D123" s="5"/>
      <c r="E123" s="5"/>
      <c r="F123" s="5" t="n">
        <v>0</v>
      </c>
      <c r="G123" s="5" t="s">
        <v>740</v>
      </c>
      <c r="H123" s="5" t="s">
        <v>71</v>
      </c>
      <c r="I123" s="5"/>
      <c r="J123" s="5"/>
      <c r="K123" s="7" t="s">
        <v>886</v>
      </c>
    </row>
    <row r="124" customFormat="false" ht="15" hidden="false" customHeight="false" outlineLevel="0" collapsed="false">
      <c r="A124" s="5" t="s">
        <v>464</v>
      </c>
      <c r="B124" s="5"/>
      <c r="C124" s="5" t="s">
        <v>894</v>
      </c>
      <c r="D124" s="5"/>
      <c r="E124" s="5"/>
      <c r="F124" s="5" t="n">
        <v>0</v>
      </c>
      <c r="G124" s="5" t="s">
        <v>740</v>
      </c>
      <c r="H124" s="5" t="s">
        <v>71</v>
      </c>
      <c r="I124" s="5"/>
      <c r="J124" s="5"/>
      <c r="K124" s="7" t="s">
        <v>886</v>
      </c>
    </row>
    <row r="125" customFormat="false" ht="15" hidden="false" customHeight="false" outlineLevel="0" collapsed="false">
      <c r="A125" s="5" t="s">
        <v>464</v>
      </c>
      <c r="B125" s="5"/>
      <c r="C125" s="5" t="s">
        <v>895</v>
      </c>
      <c r="D125" s="5"/>
      <c r="E125" s="5"/>
      <c r="F125" s="5" t="n">
        <v>0</v>
      </c>
      <c r="G125" s="5" t="s">
        <v>740</v>
      </c>
      <c r="H125" s="5" t="s">
        <v>71</v>
      </c>
      <c r="I125" s="5"/>
      <c r="J125" s="5"/>
      <c r="K125" s="7" t="s">
        <v>886</v>
      </c>
    </row>
    <row r="126" customFormat="false" ht="15" hidden="false" customHeight="false" outlineLevel="0" collapsed="false">
      <c r="A126" s="5" t="s">
        <v>464</v>
      </c>
      <c r="B126" s="5"/>
      <c r="C126" s="5" t="s">
        <v>896</v>
      </c>
      <c r="D126" s="5"/>
      <c r="E126" s="5"/>
      <c r="F126" s="5" t="n">
        <v>0</v>
      </c>
      <c r="G126" s="5" t="s">
        <v>740</v>
      </c>
      <c r="H126" s="5" t="s">
        <v>71</v>
      </c>
      <c r="I126" s="5"/>
      <c r="J126" s="5"/>
      <c r="K126" s="7" t="s">
        <v>886</v>
      </c>
    </row>
    <row r="127" customFormat="false" ht="15" hidden="false" customHeight="false" outlineLevel="0" collapsed="false">
      <c r="A127" s="5" t="s">
        <v>464</v>
      </c>
      <c r="B127" s="5"/>
      <c r="C127" s="5" t="s">
        <v>897</v>
      </c>
      <c r="D127" s="5"/>
      <c r="E127" s="5"/>
      <c r="F127" s="5" t="n">
        <v>0</v>
      </c>
      <c r="G127" s="5" t="s">
        <v>740</v>
      </c>
      <c r="H127" s="5" t="s">
        <v>71</v>
      </c>
      <c r="I127" s="5"/>
      <c r="J127" s="5"/>
      <c r="K127" s="7" t="s">
        <v>886</v>
      </c>
    </row>
    <row r="128" customFormat="false" ht="15" hidden="false" customHeight="false" outlineLevel="0" collapsed="false">
      <c r="A128" s="5" t="s">
        <v>464</v>
      </c>
      <c r="B128" s="5"/>
      <c r="C128" s="5" t="s">
        <v>898</v>
      </c>
      <c r="D128" s="5"/>
      <c r="E128" s="5"/>
      <c r="F128" s="5" t="n">
        <v>0</v>
      </c>
      <c r="G128" s="5" t="s">
        <v>740</v>
      </c>
      <c r="H128" s="5" t="s">
        <v>71</v>
      </c>
      <c r="I128" s="5"/>
      <c r="J128" s="5"/>
      <c r="K128" s="7" t="s">
        <v>886</v>
      </c>
    </row>
    <row r="129" customFormat="false" ht="15" hidden="false" customHeight="false" outlineLevel="0" collapsed="false">
      <c r="A129" s="5" t="s">
        <v>464</v>
      </c>
      <c r="B129" s="5"/>
      <c r="C129" s="5" t="s">
        <v>899</v>
      </c>
      <c r="D129" s="5"/>
      <c r="E129" s="5"/>
      <c r="F129" s="5" t="n">
        <v>0</v>
      </c>
      <c r="G129" s="5" t="s">
        <v>740</v>
      </c>
      <c r="H129" s="5" t="s">
        <v>71</v>
      </c>
      <c r="I129" s="5"/>
      <c r="J129" s="5"/>
      <c r="K129" s="7" t="s">
        <v>886</v>
      </c>
    </row>
    <row r="130" customFormat="false" ht="15" hidden="false" customHeight="false" outlineLevel="0" collapsed="false">
      <c r="A130" s="5" t="s">
        <v>464</v>
      </c>
      <c r="B130" s="5"/>
      <c r="C130" s="5" t="s">
        <v>900</v>
      </c>
      <c r="D130" s="5"/>
      <c r="E130" s="5"/>
      <c r="F130" s="5" t="n">
        <v>0</v>
      </c>
      <c r="G130" s="5" t="s">
        <v>740</v>
      </c>
      <c r="H130" s="5" t="s">
        <v>71</v>
      </c>
      <c r="I130" s="5"/>
      <c r="J130" s="5"/>
      <c r="K130" s="7" t="s">
        <v>886</v>
      </c>
    </row>
    <row r="131" customFormat="false" ht="15" hidden="false" customHeight="false" outlineLevel="0" collapsed="false">
      <c r="A131" s="5" t="s">
        <v>464</v>
      </c>
      <c r="B131" s="5"/>
      <c r="C131" s="5" t="s">
        <v>901</v>
      </c>
      <c r="D131" s="5"/>
      <c r="E131" s="5"/>
      <c r="F131" s="5" t="n">
        <v>0</v>
      </c>
      <c r="G131" s="5" t="s">
        <v>740</v>
      </c>
      <c r="H131" s="5" t="s">
        <v>71</v>
      </c>
      <c r="I131" s="5"/>
      <c r="J131" s="5"/>
      <c r="K131" s="7" t="s">
        <v>886</v>
      </c>
    </row>
    <row r="132" customFormat="false" ht="35.05" hidden="false" customHeight="false" outlineLevel="0" collapsed="false">
      <c r="A132" s="5" t="s">
        <v>464</v>
      </c>
      <c r="B132" s="5"/>
      <c r="C132" s="5" t="s">
        <v>902</v>
      </c>
      <c r="D132" s="5"/>
      <c r="E132" s="5" t="s">
        <v>903</v>
      </c>
      <c r="F132" s="5" t="n">
        <v>1</v>
      </c>
      <c r="G132" s="5" t="s">
        <v>740</v>
      </c>
      <c r="H132" s="5" t="s">
        <v>71</v>
      </c>
      <c r="I132" s="5"/>
      <c r="J132" s="5"/>
      <c r="K132" s="5"/>
    </row>
    <row r="133" customFormat="false" ht="15" hidden="false" customHeight="false" outlineLevel="0" collapsed="false">
      <c r="A133" s="5" t="s">
        <v>464</v>
      </c>
      <c r="B133" s="5"/>
      <c r="C133" s="5" t="s">
        <v>904</v>
      </c>
      <c r="D133" s="5"/>
      <c r="E133" s="5"/>
      <c r="F133" s="5" t="n">
        <v>0</v>
      </c>
      <c r="G133" s="5" t="s">
        <v>740</v>
      </c>
      <c r="H133" s="5" t="s">
        <v>71</v>
      </c>
      <c r="I133" s="5"/>
      <c r="J133" s="5"/>
      <c r="K133" s="7" t="s">
        <v>886</v>
      </c>
    </row>
    <row r="134" customFormat="false" ht="23.85" hidden="false" customHeight="false" outlineLevel="0" collapsed="false">
      <c r="A134" s="5" t="s">
        <v>464</v>
      </c>
      <c r="B134" s="5"/>
      <c r="C134" s="5" t="s">
        <v>905</v>
      </c>
      <c r="D134" s="5"/>
      <c r="E134" s="5"/>
      <c r="F134" s="5" t="n">
        <v>0</v>
      </c>
      <c r="G134" s="5" t="s">
        <v>740</v>
      </c>
      <c r="H134" s="5" t="s">
        <v>71</v>
      </c>
      <c r="I134" s="5"/>
      <c r="J134" s="5"/>
      <c r="K134" s="7" t="s">
        <v>906</v>
      </c>
    </row>
    <row r="135" customFormat="false" ht="15" hidden="false" customHeight="false" outlineLevel="0" collapsed="false">
      <c r="A135" s="5" t="s">
        <v>464</v>
      </c>
      <c r="B135" s="5"/>
      <c r="C135" s="5" t="s">
        <v>907</v>
      </c>
      <c r="D135" s="5"/>
      <c r="E135" s="5"/>
      <c r="F135" s="5" t="n">
        <v>0</v>
      </c>
      <c r="G135" s="5" t="s">
        <v>740</v>
      </c>
      <c r="H135" s="5" t="s">
        <v>71</v>
      </c>
      <c r="I135" s="5"/>
      <c r="J135" s="5"/>
      <c r="K135" s="7" t="s">
        <v>886</v>
      </c>
    </row>
    <row r="136" customFormat="false" ht="15" hidden="false" customHeight="false" outlineLevel="0" collapsed="false">
      <c r="A136" s="5" t="s">
        <v>464</v>
      </c>
      <c r="B136" s="5"/>
      <c r="C136" s="5" t="s">
        <v>908</v>
      </c>
      <c r="D136" s="5"/>
      <c r="E136" s="5"/>
      <c r="F136" s="5" t="n">
        <v>0</v>
      </c>
      <c r="G136" s="5" t="s">
        <v>740</v>
      </c>
      <c r="H136" s="5" t="s">
        <v>71</v>
      </c>
      <c r="I136" s="5"/>
      <c r="J136" s="5"/>
      <c r="K136" s="7" t="s">
        <v>886</v>
      </c>
    </row>
    <row r="137" customFormat="false" ht="15" hidden="false" customHeight="false" outlineLevel="0" collapsed="false">
      <c r="A137" s="5" t="s">
        <v>464</v>
      </c>
      <c r="B137" s="5"/>
      <c r="C137" s="5" t="s">
        <v>909</v>
      </c>
      <c r="D137" s="5"/>
      <c r="E137" s="5"/>
      <c r="F137" s="5" t="n">
        <v>0</v>
      </c>
      <c r="G137" s="5" t="s">
        <v>740</v>
      </c>
      <c r="H137" s="5" t="s">
        <v>71</v>
      </c>
      <c r="I137" s="5"/>
      <c r="J137" s="5"/>
      <c r="K137" s="7" t="s">
        <v>886</v>
      </c>
    </row>
    <row r="138" customFormat="false" ht="15" hidden="false" customHeight="false" outlineLevel="0" collapsed="false">
      <c r="A138" s="5" t="s">
        <v>464</v>
      </c>
      <c r="B138" s="5"/>
      <c r="C138" s="5" t="s">
        <v>910</v>
      </c>
      <c r="D138" s="5"/>
      <c r="E138" s="5"/>
      <c r="F138" s="5" t="n">
        <v>0</v>
      </c>
      <c r="G138" s="5" t="s">
        <v>740</v>
      </c>
      <c r="H138" s="5" t="s">
        <v>71</v>
      </c>
      <c r="I138" s="5"/>
      <c r="J138" s="5"/>
      <c r="K138" s="7" t="s">
        <v>886</v>
      </c>
    </row>
    <row r="139" customFormat="false" ht="15" hidden="false" customHeight="false" outlineLevel="0" collapsed="false">
      <c r="A139" s="5" t="s">
        <v>464</v>
      </c>
      <c r="B139" s="5"/>
      <c r="C139" s="5" t="s">
        <v>911</v>
      </c>
      <c r="D139" s="5"/>
      <c r="E139" s="5"/>
      <c r="F139" s="5" t="n">
        <v>0</v>
      </c>
      <c r="G139" s="5" t="s">
        <v>740</v>
      </c>
      <c r="H139" s="5" t="s">
        <v>71</v>
      </c>
      <c r="I139" s="5"/>
      <c r="J139" s="5"/>
      <c r="K139" s="7" t="s">
        <v>886</v>
      </c>
    </row>
    <row r="140" customFormat="false" ht="15" hidden="false" customHeight="false" outlineLevel="0" collapsed="false">
      <c r="A140" s="5" t="s">
        <v>464</v>
      </c>
      <c r="B140" s="5"/>
      <c r="C140" s="5" t="s">
        <v>912</v>
      </c>
      <c r="D140" s="5"/>
      <c r="E140" s="5"/>
      <c r="F140" s="5" t="n">
        <v>0</v>
      </c>
      <c r="G140" s="5" t="s">
        <v>740</v>
      </c>
      <c r="H140" s="5" t="s">
        <v>71</v>
      </c>
      <c r="I140" s="5"/>
      <c r="J140" s="5"/>
      <c r="K140" s="7" t="s">
        <v>886</v>
      </c>
    </row>
    <row r="141" customFormat="false" ht="15" hidden="false" customHeight="false" outlineLevel="0" collapsed="false">
      <c r="A141" s="5" t="s">
        <v>464</v>
      </c>
      <c r="B141" s="5"/>
      <c r="C141" s="5" t="s">
        <v>913</v>
      </c>
      <c r="D141" s="5"/>
      <c r="E141" s="5"/>
      <c r="F141" s="5" t="n">
        <v>0</v>
      </c>
      <c r="G141" s="5" t="s">
        <v>740</v>
      </c>
      <c r="H141" s="5" t="s">
        <v>71</v>
      </c>
      <c r="I141" s="5"/>
      <c r="J141" s="5"/>
      <c r="K141" s="7" t="s">
        <v>886</v>
      </c>
    </row>
    <row r="142" customFormat="false" ht="35.05" hidden="false" customHeight="false" outlineLevel="0" collapsed="false">
      <c r="A142" s="5" t="s">
        <v>464</v>
      </c>
      <c r="B142" s="5"/>
      <c r="C142" s="5" t="s">
        <v>914</v>
      </c>
      <c r="D142" s="5"/>
      <c r="E142" s="5" t="s">
        <v>915</v>
      </c>
      <c r="F142" s="5" t="n">
        <v>1</v>
      </c>
      <c r="G142" s="5" t="s">
        <v>740</v>
      </c>
      <c r="H142" s="5" t="s">
        <v>71</v>
      </c>
      <c r="I142" s="5"/>
      <c r="J142" s="5"/>
      <c r="K142" s="5"/>
    </row>
    <row r="143" customFormat="false" ht="15" hidden="false" customHeight="false" outlineLevel="0" collapsed="false">
      <c r="A143" s="5" t="s">
        <v>464</v>
      </c>
      <c r="B143" s="5"/>
      <c r="C143" s="5" t="s">
        <v>916</v>
      </c>
      <c r="D143" s="5"/>
      <c r="E143" s="5"/>
      <c r="F143" s="5" t="n">
        <v>0</v>
      </c>
      <c r="G143" s="5" t="s">
        <v>740</v>
      </c>
      <c r="H143" s="5" t="s">
        <v>71</v>
      </c>
      <c r="I143" s="5"/>
      <c r="J143" s="5"/>
      <c r="K143" s="7" t="s">
        <v>886</v>
      </c>
    </row>
    <row r="144" customFormat="false" ht="15" hidden="false" customHeight="false" outlineLevel="0" collapsed="false">
      <c r="A144" s="5" t="s">
        <v>464</v>
      </c>
      <c r="B144" s="5"/>
      <c r="C144" s="5" t="s">
        <v>917</v>
      </c>
      <c r="D144" s="5"/>
      <c r="E144" s="5"/>
      <c r="F144" s="5" t="n">
        <v>0</v>
      </c>
      <c r="G144" s="5" t="s">
        <v>740</v>
      </c>
      <c r="H144" s="5" t="s">
        <v>71</v>
      </c>
      <c r="I144" s="5"/>
      <c r="J144" s="5"/>
      <c r="K144" s="7" t="s">
        <v>886</v>
      </c>
    </row>
    <row r="145" customFormat="false" ht="15" hidden="false" customHeight="false" outlineLevel="0" collapsed="false">
      <c r="A145" s="5" t="s">
        <v>464</v>
      </c>
      <c r="B145" s="5"/>
      <c r="C145" s="5" t="s">
        <v>918</v>
      </c>
      <c r="D145" s="5"/>
      <c r="E145" s="5"/>
      <c r="F145" s="5" t="n">
        <v>0</v>
      </c>
      <c r="G145" s="5" t="s">
        <v>740</v>
      </c>
      <c r="H145" s="5" t="s">
        <v>71</v>
      </c>
      <c r="I145" s="5"/>
      <c r="J145" s="5"/>
      <c r="K145" s="7" t="s">
        <v>919</v>
      </c>
    </row>
    <row r="146" customFormat="false" ht="15" hidden="false" customHeight="false" outlineLevel="0" collapsed="false">
      <c r="A146" s="5" t="s">
        <v>464</v>
      </c>
      <c r="B146" s="5"/>
      <c r="C146" s="5" t="s">
        <v>920</v>
      </c>
      <c r="D146" s="5"/>
      <c r="E146" s="5"/>
      <c r="F146" s="5" t="n">
        <v>0</v>
      </c>
      <c r="G146" s="5" t="s">
        <v>740</v>
      </c>
      <c r="H146" s="5" t="s">
        <v>71</v>
      </c>
      <c r="I146" s="5"/>
      <c r="J146" s="5"/>
      <c r="K146" s="7" t="s">
        <v>886</v>
      </c>
    </row>
    <row r="147" customFormat="false" ht="15" hidden="false" customHeight="false" outlineLevel="0" collapsed="false">
      <c r="A147" s="5" t="s">
        <v>464</v>
      </c>
      <c r="B147" s="5"/>
      <c r="C147" s="5" t="s">
        <v>921</v>
      </c>
      <c r="D147" s="5"/>
      <c r="E147" s="5"/>
      <c r="F147" s="5" t="n">
        <v>0</v>
      </c>
      <c r="G147" s="5" t="s">
        <v>740</v>
      </c>
      <c r="H147" s="5" t="s">
        <v>71</v>
      </c>
      <c r="I147" s="5"/>
      <c r="J147" s="5"/>
      <c r="K147" s="7" t="s">
        <v>886</v>
      </c>
    </row>
    <row r="148" customFormat="false" ht="15" hidden="false" customHeight="false" outlineLevel="0" collapsed="false">
      <c r="A148" s="5" t="s">
        <v>464</v>
      </c>
      <c r="B148" s="5"/>
      <c r="C148" s="5" t="s">
        <v>922</v>
      </c>
      <c r="D148" s="5"/>
      <c r="E148" s="5"/>
      <c r="F148" s="5" t="n">
        <v>0</v>
      </c>
      <c r="G148" s="5" t="s">
        <v>740</v>
      </c>
      <c r="H148" s="5" t="s">
        <v>71</v>
      </c>
      <c r="I148" s="5"/>
      <c r="J148" s="5"/>
      <c r="K148" s="7" t="s">
        <v>886</v>
      </c>
    </row>
    <row r="149" customFormat="false" ht="15" hidden="false" customHeight="false" outlineLevel="0" collapsed="false">
      <c r="A149" s="5" t="s">
        <v>464</v>
      </c>
      <c r="B149" s="5"/>
      <c r="C149" s="5" t="s">
        <v>923</v>
      </c>
      <c r="D149" s="5"/>
      <c r="E149" s="5"/>
      <c r="F149" s="5" t="n">
        <v>0</v>
      </c>
      <c r="G149" s="5" t="s">
        <v>740</v>
      </c>
      <c r="H149" s="5" t="s">
        <v>71</v>
      </c>
      <c r="I149" s="5"/>
      <c r="J149" s="5"/>
      <c r="K149" s="7" t="s">
        <v>886</v>
      </c>
    </row>
    <row r="150" customFormat="false" ht="15" hidden="false" customHeight="false" outlineLevel="0" collapsed="false">
      <c r="A150" s="5" t="s">
        <v>464</v>
      </c>
      <c r="B150" s="5"/>
      <c r="C150" s="5" t="s">
        <v>924</v>
      </c>
      <c r="D150" s="5"/>
      <c r="E150" s="5"/>
      <c r="F150" s="5" t="n">
        <v>0</v>
      </c>
      <c r="G150" s="5" t="s">
        <v>740</v>
      </c>
      <c r="H150" s="5" t="s">
        <v>71</v>
      </c>
      <c r="I150" s="5"/>
      <c r="J150" s="5"/>
      <c r="K150" s="7" t="s">
        <v>886</v>
      </c>
    </row>
    <row r="151" customFormat="false" ht="15" hidden="false" customHeight="false" outlineLevel="0" collapsed="false">
      <c r="A151" s="5" t="s">
        <v>464</v>
      </c>
      <c r="B151" s="5"/>
      <c r="C151" s="5" t="s">
        <v>925</v>
      </c>
      <c r="D151" s="5"/>
      <c r="E151" s="5"/>
      <c r="F151" s="5" t="n">
        <v>0</v>
      </c>
      <c r="G151" s="5" t="s">
        <v>740</v>
      </c>
      <c r="H151" s="5" t="s">
        <v>71</v>
      </c>
      <c r="I151" s="5"/>
      <c r="J151" s="5"/>
      <c r="K151" s="7" t="s">
        <v>886</v>
      </c>
    </row>
    <row r="152" customFormat="false" ht="15" hidden="false" customHeight="false" outlineLevel="0" collapsed="false">
      <c r="A152" s="5" t="s">
        <v>464</v>
      </c>
      <c r="B152" s="5"/>
      <c r="C152" s="5" t="s">
        <v>926</v>
      </c>
      <c r="D152" s="5"/>
      <c r="E152" s="5"/>
      <c r="F152" s="5" t="n">
        <v>0</v>
      </c>
      <c r="G152" s="5" t="s">
        <v>740</v>
      </c>
      <c r="H152" s="5" t="s">
        <v>71</v>
      </c>
      <c r="I152" s="5"/>
      <c r="J152" s="5"/>
      <c r="K152" s="7" t="s">
        <v>886</v>
      </c>
    </row>
    <row r="153" customFormat="false" ht="15" hidden="false" customHeight="false" outlineLevel="0" collapsed="false">
      <c r="A153" s="5" t="s">
        <v>464</v>
      </c>
      <c r="B153" s="5"/>
      <c r="C153" s="5" t="s">
        <v>927</v>
      </c>
      <c r="D153" s="5"/>
      <c r="E153" s="5"/>
      <c r="F153" s="5" t="n">
        <v>0</v>
      </c>
      <c r="G153" s="5" t="s">
        <v>740</v>
      </c>
      <c r="H153" s="5" t="s">
        <v>71</v>
      </c>
      <c r="I153" s="5"/>
      <c r="J153" s="5"/>
      <c r="K153" s="7" t="s">
        <v>886</v>
      </c>
    </row>
    <row r="154" customFormat="false" ht="15" hidden="false" customHeight="false" outlineLevel="0" collapsed="false">
      <c r="A154" s="5" t="s">
        <v>464</v>
      </c>
      <c r="B154" s="5"/>
      <c r="C154" s="5" t="s">
        <v>928</v>
      </c>
      <c r="D154" s="5"/>
      <c r="E154" s="5"/>
      <c r="F154" s="5" t="n">
        <v>0</v>
      </c>
      <c r="G154" s="5" t="s">
        <v>740</v>
      </c>
      <c r="H154" s="5" t="s">
        <v>71</v>
      </c>
      <c r="I154" s="5"/>
      <c r="J154" s="5"/>
      <c r="K154" s="7" t="s">
        <v>886</v>
      </c>
    </row>
    <row r="155" customFormat="false" ht="35.05" hidden="false" customHeight="false" outlineLevel="0" collapsed="false">
      <c r="A155" s="5" t="s">
        <v>464</v>
      </c>
      <c r="B155" s="5"/>
      <c r="C155" s="5" t="s">
        <v>929</v>
      </c>
      <c r="D155" s="5"/>
      <c r="E155" s="5"/>
      <c r="F155" s="5" t="n">
        <v>0</v>
      </c>
      <c r="G155" s="5" t="s">
        <v>740</v>
      </c>
      <c r="H155" s="5" t="s">
        <v>71</v>
      </c>
      <c r="I155" s="5"/>
      <c r="J155" s="5"/>
      <c r="K155" s="7" t="s">
        <v>930</v>
      </c>
    </row>
    <row r="156" customFormat="false" ht="15" hidden="false" customHeight="false" outlineLevel="0" collapsed="false">
      <c r="A156" s="5" t="s">
        <v>464</v>
      </c>
      <c r="B156" s="5"/>
      <c r="C156" s="5" t="s">
        <v>931</v>
      </c>
      <c r="D156" s="5"/>
      <c r="E156" s="5"/>
      <c r="F156" s="5" t="n">
        <v>0</v>
      </c>
      <c r="G156" s="5" t="s">
        <v>740</v>
      </c>
      <c r="H156" s="5" t="s">
        <v>71</v>
      </c>
      <c r="I156" s="5"/>
      <c r="J156" s="5"/>
      <c r="K156" s="7" t="s">
        <v>886</v>
      </c>
    </row>
    <row r="157" customFormat="false" ht="15" hidden="false" customHeight="false" outlineLevel="0" collapsed="false">
      <c r="A157" s="5" t="s">
        <v>464</v>
      </c>
      <c r="B157" s="5"/>
      <c r="C157" s="5" t="s">
        <v>932</v>
      </c>
      <c r="D157" s="5"/>
      <c r="E157" s="5"/>
      <c r="F157" s="5" t="n">
        <v>0</v>
      </c>
      <c r="G157" s="5" t="s">
        <v>740</v>
      </c>
      <c r="H157" s="5" t="s">
        <v>71</v>
      </c>
      <c r="I157" s="5"/>
      <c r="J157" s="5"/>
      <c r="K157" s="7" t="s">
        <v>886</v>
      </c>
    </row>
    <row r="158" customFormat="false" ht="15" hidden="false" customHeight="false" outlineLevel="0" collapsed="false">
      <c r="A158" s="5" t="s">
        <v>464</v>
      </c>
      <c r="B158" s="5"/>
      <c r="C158" s="5" t="s">
        <v>933</v>
      </c>
      <c r="D158" s="5"/>
      <c r="E158" s="5"/>
      <c r="F158" s="5" t="n">
        <v>0</v>
      </c>
      <c r="G158" s="5" t="s">
        <v>740</v>
      </c>
      <c r="H158" s="5" t="s">
        <v>71</v>
      </c>
      <c r="I158" s="5"/>
      <c r="J158" s="5"/>
      <c r="K158" s="7" t="s">
        <v>886</v>
      </c>
    </row>
    <row r="159" customFormat="false" ht="15" hidden="false" customHeight="false" outlineLevel="0" collapsed="false">
      <c r="A159" s="5" t="s">
        <v>464</v>
      </c>
      <c r="B159" s="5"/>
      <c r="C159" s="5" t="s">
        <v>934</v>
      </c>
      <c r="D159" s="5"/>
      <c r="E159" s="5"/>
      <c r="F159" s="5" t="n">
        <v>0</v>
      </c>
      <c r="G159" s="5" t="s">
        <v>740</v>
      </c>
      <c r="H159" s="5" t="s">
        <v>71</v>
      </c>
      <c r="I159" s="5"/>
      <c r="J159" s="5"/>
      <c r="K159" s="7" t="s">
        <v>886</v>
      </c>
    </row>
    <row r="160" customFormat="false" ht="15" hidden="false" customHeight="false" outlineLevel="0" collapsed="false">
      <c r="A160" s="5" t="s">
        <v>464</v>
      </c>
      <c r="B160" s="5"/>
      <c r="C160" s="5" t="s">
        <v>935</v>
      </c>
      <c r="D160" s="5"/>
      <c r="E160" s="5"/>
      <c r="F160" s="5" t="n">
        <v>0</v>
      </c>
      <c r="G160" s="5" t="s">
        <v>740</v>
      </c>
      <c r="H160" s="5" t="s">
        <v>71</v>
      </c>
      <c r="I160" s="5"/>
      <c r="J160" s="5"/>
      <c r="K160" s="7" t="s">
        <v>886</v>
      </c>
    </row>
    <row r="161" customFormat="false" ht="15" hidden="false" customHeight="false" outlineLevel="0" collapsed="false">
      <c r="A161" s="5" t="s">
        <v>464</v>
      </c>
      <c r="B161" s="5"/>
      <c r="C161" s="5" t="s">
        <v>936</v>
      </c>
      <c r="D161" s="5"/>
      <c r="E161" s="5"/>
      <c r="F161" s="5" t="n">
        <v>0</v>
      </c>
      <c r="G161" s="5" t="s">
        <v>740</v>
      </c>
      <c r="H161" s="5" t="s">
        <v>71</v>
      </c>
      <c r="I161" s="5"/>
      <c r="J161" s="5"/>
      <c r="K161" s="7" t="s">
        <v>886</v>
      </c>
    </row>
    <row r="162" customFormat="false" ht="15" hidden="false" customHeight="false" outlineLevel="0" collapsed="false">
      <c r="A162" s="5" t="s">
        <v>464</v>
      </c>
      <c r="B162" s="5"/>
      <c r="C162" s="5" t="s">
        <v>937</v>
      </c>
      <c r="D162" s="5"/>
      <c r="E162" s="5"/>
      <c r="F162" s="5" t="n">
        <v>0</v>
      </c>
      <c r="G162" s="5" t="s">
        <v>740</v>
      </c>
      <c r="H162" s="5" t="s">
        <v>71</v>
      </c>
      <c r="I162" s="5"/>
      <c r="J162" s="5"/>
      <c r="K162" s="7" t="s">
        <v>886</v>
      </c>
    </row>
    <row r="163" customFormat="false" ht="15" hidden="false" customHeight="false" outlineLevel="0" collapsed="false">
      <c r="A163" s="5" t="s">
        <v>464</v>
      </c>
      <c r="B163" s="5"/>
      <c r="C163" s="5" t="s">
        <v>938</v>
      </c>
      <c r="D163" s="5"/>
      <c r="E163" s="5"/>
      <c r="F163" s="5" t="n">
        <v>0</v>
      </c>
      <c r="G163" s="5" t="s">
        <v>740</v>
      </c>
      <c r="H163" s="5" t="s">
        <v>71</v>
      </c>
      <c r="I163" s="5"/>
      <c r="J163" s="5"/>
      <c r="K163" s="7" t="s">
        <v>886</v>
      </c>
    </row>
    <row r="164" customFormat="false" ht="15" hidden="false" customHeight="false" outlineLevel="0" collapsed="false">
      <c r="A164" s="5" t="s">
        <v>464</v>
      </c>
      <c r="B164" s="5"/>
      <c r="C164" s="5" t="s">
        <v>939</v>
      </c>
      <c r="D164" s="5"/>
      <c r="E164" s="5"/>
      <c r="F164" s="5" t="n">
        <v>0</v>
      </c>
      <c r="G164" s="5" t="s">
        <v>740</v>
      </c>
      <c r="H164" s="5" t="s">
        <v>71</v>
      </c>
      <c r="I164" s="5"/>
      <c r="J164" s="5"/>
      <c r="K164" s="7" t="s">
        <v>886</v>
      </c>
    </row>
    <row r="165" customFormat="false" ht="15" hidden="false" customHeight="false" outlineLevel="0" collapsed="false">
      <c r="A165" s="5" t="s">
        <v>464</v>
      </c>
      <c r="B165" s="5"/>
      <c r="C165" s="5" t="s">
        <v>940</v>
      </c>
      <c r="D165" s="5"/>
      <c r="E165" s="5"/>
      <c r="F165" s="5" t="n">
        <v>0</v>
      </c>
      <c r="G165" s="5" t="s">
        <v>740</v>
      </c>
      <c r="H165" s="5" t="s">
        <v>71</v>
      </c>
      <c r="I165" s="5"/>
      <c r="J165" s="5"/>
      <c r="K165" s="7" t="s">
        <v>886</v>
      </c>
    </row>
    <row r="166" customFormat="false" ht="15" hidden="false" customHeight="false" outlineLevel="0" collapsed="false">
      <c r="A166" s="5" t="s">
        <v>464</v>
      </c>
      <c r="B166" s="5"/>
      <c r="C166" s="5" t="s">
        <v>941</v>
      </c>
      <c r="D166" s="5"/>
      <c r="E166" s="5"/>
      <c r="F166" s="5" t="n">
        <v>0</v>
      </c>
      <c r="G166" s="5" t="s">
        <v>740</v>
      </c>
      <c r="H166" s="5" t="s">
        <v>71</v>
      </c>
      <c r="I166" s="5"/>
      <c r="J166" s="5"/>
      <c r="K166" s="7" t="s">
        <v>886</v>
      </c>
    </row>
    <row r="167" customFormat="false" ht="15" hidden="false" customHeight="false" outlineLevel="0" collapsed="false">
      <c r="A167" s="5" t="s">
        <v>464</v>
      </c>
      <c r="B167" s="5"/>
      <c r="C167" s="5" t="s">
        <v>942</v>
      </c>
      <c r="D167" s="5"/>
      <c r="E167" s="5"/>
      <c r="F167" s="5" t="n">
        <v>0</v>
      </c>
      <c r="G167" s="5" t="s">
        <v>740</v>
      </c>
      <c r="H167" s="5" t="s">
        <v>71</v>
      </c>
      <c r="I167" s="5"/>
      <c r="J167" s="5"/>
      <c r="K167" s="7" t="s">
        <v>886</v>
      </c>
    </row>
    <row r="168" customFormat="false" ht="23.85" hidden="false" customHeight="false" outlineLevel="0" collapsed="false">
      <c r="A168" s="5" t="s">
        <v>464</v>
      </c>
      <c r="B168" s="5"/>
      <c r="C168" s="5" t="s">
        <v>943</v>
      </c>
      <c r="D168" s="5"/>
      <c r="E168" s="5"/>
      <c r="F168" s="5" t="n">
        <v>0</v>
      </c>
      <c r="G168" s="5" t="s">
        <v>740</v>
      </c>
      <c r="H168" s="5" t="s">
        <v>71</v>
      </c>
      <c r="I168" s="5"/>
      <c r="J168" s="5"/>
      <c r="K168" s="7" t="s">
        <v>944</v>
      </c>
    </row>
    <row r="169" customFormat="false" ht="15" hidden="false" customHeight="false" outlineLevel="0" collapsed="false">
      <c r="A169" s="5" t="s">
        <v>464</v>
      </c>
      <c r="B169" s="5"/>
      <c r="C169" s="5" t="s">
        <v>945</v>
      </c>
      <c r="D169" s="5"/>
      <c r="E169" s="5"/>
      <c r="F169" s="5" t="n">
        <v>0</v>
      </c>
      <c r="G169" s="5" t="s">
        <v>740</v>
      </c>
      <c r="H169" s="5" t="s">
        <v>71</v>
      </c>
      <c r="I169" s="5"/>
      <c r="J169" s="5"/>
      <c r="K169" s="7" t="s">
        <v>886</v>
      </c>
    </row>
    <row r="170" customFormat="false" ht="15" hidden="false" customHeight="false" outlineLevel="0" collapsed="false">
      <c r="A170" s="5" t="s">
        <v>464</v>
      </c>
      <c r="B170" s="5"/>
      <c r="C170" s="5" t="s">
        <v>946</v>
      </c>
      <c r="D170" s="5"/>
      <c r="E170" s="5"/>
      <c r="F170" s="5" t="n">
        <v>0</v>
      </c>
      <c r="G170" s="5" t="s">
        <v>740</v>
      </c>
      <c r="H170" s="5" t="s">
        <v>71</v>
      </c>
      <c r="I170" s="5"/>
      <c r="J170" s="5"/>
      <c r="K170" s="7" t="s">
        <v>886</v>
      </c>
    </row>
    <row r="171" customFormat="false" ht="23.85" hidden="false" customHeight="false" outlineLevel="0" collapsed="false">
      <c r="A171" s="5" t="s">
        <v>464</v>
      </c>
      <c r="B171" s="5"/>
      <c r="C171" s="5" t="s">
        <v>947</v>
      </c>
      <c r="D171" s="5"/>
      <c r="E171" s="5"/>
      <c r="F171" s="5" t="n">
        <v>0</v>
      </c>
      <c r="G171" s="5" t="s">
        <v>740</v>
      </c>
      <c r="H171" s="5" t="s">
        <v>71</v>
      </c>
      <c r="I171" s="5"/>
      <c r="J171" s="5"/>
      <c r="K171" s="7" t="s">
        <v>948</v>
      </c>
    </row>
    <row r="172" customFormat="false" ht="15" hidden="false" customHeight="false" outlineLevel="0" collapsed="false">
      <c r="A172" s="5" t="s">
        <v>464</v>
      </c>
      <c r="B172" s="5"/>
      <c r="C172" s="5" t="s">
        <v>949</v>
      </c>
      <c r="D172" s="5"/>
      <c r="E172" s="5"/>
      <c r="F172" s="5" t="n">
        <v>0</v>
      </c>
      <c r="G172" s="5" t="s">
        <v>740</v>
      </c>
      <c r="H172" s="5" t="s">
        <v>71</v>
      </c>
      <c r="I172" s="5"/>
      <c r="J172" s="5"/>
      <c r="K172" s="7" t="s">
        <v>886</v>
      </c>
    </row>
    <row r="173" customFormat="false" ht="15" hidden="false" customHeight="false" outlineLevel="0" collapsed="false">
      <c r="A173" s="5" t="s">
        <v>464</v>
      </c>
      <c r="B173" s="5"/>
      <c r="C173" s="5" t="s">
        <v>950</v>
      </c>
      <c r="D173" s="5"/>
      <c r="E173" s="5"/>
      <c r="F173" s="5" t="n">
        <v>0</v>
      </c>
      <c r="G173" s="5" t="s">
        <v>740</v>
      </c>
      <c r="H173" s="5" t="s">
        <v>71</v>
      </c>
      <c r="I173" s="5"/>
      <c r="J173" s="5"/>
      <c r="K173" s="7" t="s">
        <v>886</v>
      </c>
    </row>
    <row r="174" customFormat="false" ht="15" hidden="false" customHeight="false" outlineLevel="0" collapsed="false">
      <c r="A174" s="5" t="s">
        <v>464</v>
      </c>
      <c r="B174" s="5"/>
      <c r="C174" s="5" t="s">
        <v>951</v>
      </c>
      <c r="D174" s="5"/>
      <c r="E174" s="5"/>
      <c r="F174" s="5" t="n">
        <v>0</v>
      </c>
      <c r="G174" s="5" t="s">
        <v>740</v>
      </c>
      <c r="H174" s="5" t="s">
        <v>71</v>
      </c>
      <c r="I174" s="5"/>
      <c r="J174" s="5"/>
      <c r="K174" s="7" t="s">
        <v>886</v>
      </c>
    </row>
    <row r="175" customFormat="false" ht="15" hidden="false" customHeight="false" outlineLevel="0" collapsed="false">
      <c r="A175" s="5" t="s">
        <v>464</v>
      </c>
      <c r="B175" s="5"/>
      <c r="C175" s="5" t="s">
        <v>952</v>
      </c>
      <c r="D175" s="5"/>
      <c r="E175" s="5"/>
      <c r="F175" s="5" t="n">
        <v>0</v>
      </c>
      <c r="G175" s="5" t="s">
        <v>740</v>
      </c>
      <c r="H175" s="5" t="s">
        <v>71</v>
      </c>
      <c r="I175" s="5"/>
      <c r="J175" s="5"/>
      <c r="K175" s="7" t="s">
        <v>886</v>
      </c>
    </row>
    <row r="176" customFormat="false" ht="15" hidden="false" customHeight="false" outlineLevel="0" collapsed="false">
      <c r="A176" s="5" t="s">
        <v>464</v>
      </c>
      <c r="B176" s="5"/>
      <c r="C176" s="5" t="s">
        <v>953</v>
      </c>
      <c r="D176" s="5"/>
      <c r="E176" s="5"/>
      <c r="F176" s="5" t="n">
        <v>0</v>
      </c>
      <c r="G176" s="5" t="s">
        <v>740</v>
      </c>
      <c r="H176" s="5" t="s">
        <v>71</v>
      </c>
      <c r="I176" s="5"/>
      <c r="J176" s="5"/>
      <c r="K176" s="7" t="s">
        <v>886</v>
      </c>
    </row>
    <row r="177" customFormat="false" ht="15" hidden="false" customHeight="false" outlineLevel="0" collapsed="false">
      <c r="A177" s="5" t="s">
        <v>464</v>
      </c>
      <c r="B177" s="5"/>
      <c r="C177" s="5" t="s">
        <v>954</v>
      </c>
      <c r="D177" s="5"/>
      <c r="E177" s="5"/>
      <c r="F177" s="5" t="n">
        <v>0</v>
      </c>
      <c r="G177" s="5" t="s">
        <v>740</v>
      </c>
      <c r="H177" s="5" t="s">
        <v>71</v>
      </c>
      <c r="I177" s="5"/>
      <c r="J177" s="5"/>
      <c r="K177" s="7" t="s">
        <v>886</v>
      </c>
    </row>
    <row r="178" customFormat="false" ht="15" hidden="false" customHeight="false" outlineLevel="0" collapsed="false">
      <c r="A178" s="5" t="s">
        <v>464</v>
      </c>
      <c r="B178" s="5"/>
      <c r="C178" s="5" t="s">
        <v>955</v>
      </c>
      <c r="D178" s="5"/>
      <c r="E178" s="5"/>
      <c r="F178" s="5" t="n">
        <v>0</v>
      </c>
      <c r="G178" s="5" t="s">
        <v>740</v>
      </c>
      <c r="H178" s="5" t="s">
        <v>71</v>
      </c>
      <c r="I178" s="5"/>
      <c r="J178" s="5"/>
      <c r="K178" s="7" t="s">
        <v>886</v>
      </c>
    </row>
    <row r="179" customFormat="false" ht="15" hidden="false" customHeight="false" outlineLevel="0" collapsed="false">
      <c r="A179" s="5" t="s">
        <v>464</v>
      </c>
      <c r="B179" s="5"/>
      <c r="C179" s="5" t="s">
        <v>956</v>
      </c>
      <c r="D179" s="5"/>
      <c r="E179" s="5"/>
      <c r="F179" s="5" t="n">
        <v>0</v>
      </c>
      <c r="G179" s="5" t="s">
        <v>740</v>
      </c>
      <c r="H179" s="5" t="s">
        <v>71</v>
      </c>
      <c r="I179" s="5"/>
      <c r="J179" s="5"/>
      <c r="K179" s="7" t="s">
        <v>886</v>
      </c>
    </row>
    <row r="180" customFormat="false" ht="15" hidden="false" customHeight="false" outlineLevel="0" collapsed="false">
      <c r="A180" s="5" t="s">
        <v>464</v>
      </c>
      <c r="B180" s="5"/>
      <c r="C180" s="5" t="s">
        <v>957</v>
      </c>
      <c r="D180" s="5"/>
      <c r="E180" s="5"/>
      <c r="F180" s="5" t="n">
        <v>0</v>
      </c>
      <c r="G180" s="5" t="s">
        <v>740</v>
      </c>
      <c r="H180" s="5" t="s">
        <v>71</v>
      </c>
      <c r="I180" s="5"/>
      <c r="J180" s="5"/>
      <c r="K180" s="7" t="s">
        <v>886</v>
      </c>
    </row>
    <row r="181" customFormat="false" ht="15" hidden="false" customHeight="false" outlineLevel="0" collapsed="false">
      <c r="A181" s="5" t="s">
        <v>464</v>
      </c>
      <c r="B181" s="5"/>
      <c r="C181" s="5" t="s">
        <v>958</v>
      </c>
      <c r="D181" s="5"/>
      <c r="E181" s="5"/>
      <c r="F181" s="5" t="n">
        <v>0</v>
      </c>
      <c r="G181" s="5" t="s">
        <v>740</v>
      </c>
      <c r="H181" s="5" t="s">
        <v>71</v>
      </c>
      <c r="I181" s="5"/>
      <c r="J181" s="5"/>
      <c r="K181" s="7" t="s">
        <v>886</v>
      </c>
    </row>
    <row r="182" customFormat="false" ht="15" hidden="false" customHeight="false" outlineLevel="0" collapsed="false">
      <c r="A182" s="5" t="s">
        <v>464</v>
      </c>
      <c r="B182" s="5"/>
      <c r="C182" s="5" t="s">
        <v>959</v>
      </c>
      <c r="D182" s="5"/>
      <c r="E182" s="5"/>
      <c r="F182" s="5" t="n">
        <v>0</v>
      </c>
      <c r="G182" s="5" t="s">
        <v>740</v>
      </c>
      <c r="H182" s="5" t="s">
        <v>71</v>
      </c>
      <c r="I182" s="5"/>
      <c r="J182" s="5"/>
      <c r="K182" s="7" t="s">
        <v>886</v>
      </c>
    </row>
    <row r="183" customFormat="false" ht="15" hidden="false" customHeight="false" outlineLevel="0" collapsed="false">
      <c r="A183" s="5" t="s">
        <v>464</v>
      </c>
      <c r="B183" s="5"/>
      <c r="C183" s="5" t="s">
        <v>960</v>
      </c>
      <c r="D183" s="5"/>
      <c r="E183" s="5"/>
      <c r="F183" s="5" t="n">
        <v>0</v>
      </c>
      <c r="G183" s="5" t="s">
        <v>740</v>
      </c>
      <c r="H183" s="5" t="s">
        <v>71</v>
      </c>
      <c r="I183" s="5"/>
      <c r="J183" s="5"/>
      <c r="K183" s="7" t="s">
        <v>886</v>
      </c>
    </row>
    <row r="184" customFormat="false" ht="15" hidden="false" customHeight="false" outlineLevel="0" collapsed="false">
      <c r="A184" s="5" t="s">
        <v>464</v>
      </c>
      <c r="B184" s="5"/>
      <c r="C184" s="5" t="s">
        <v>961</v>
      </c>
      <c r="D184" s="5"/>
      <c r="E184" s="5"/>
      <c r="F184" s="5" t="n">
        <v>0</v>
      </c>
      <c r="G184" s="5" t="s">
        <v>740</v>
      </c>
      <c r="H184" s="5" t="s">
        <v>71</v>
      </c>
      <c r="I184" s="5"/>
      <c r="J184" s="5"/>
      <c r="K184" s="7" t="s">
        <v>886</v>
      </c>
    </row>
    <row r="185" customFormat="false" ht="15" hidden="false" customHeight="false" outlineLevel="0" collapsed="false">
      <c r="A185" s="5" t="s">
        <v>464</v>
      </c>
      <c r="B185" s="5"/>
      <c r="C185" s="5" t="s">
        <v>962</v>
      </c>
      <c r="D185" s="5"/>
      <c r="E185" s="5"/>
      <c r="F185" s="5" t="n">
        <v>0</v>
      </c>
      <c r="G185" s="5" t="s">
        <v>740</v>
      </c>
      <c r="H185" s="5" t="s">
        <v>71</v>
      </c>
      <c r="I185" s="5"/>
      <c r="J185" s="5"/>
      <c r="K185" s="7" t="s">
        <v>886</v>
      </c>
    </row>
    <row r="186" customFormat="false" ht="15" hidden="false" customHeight="false" outlineLevel="0" collapsed="false">
      <c r="A186" s="5" t="s">
        <v>464</v>
      </c>
      <c r="B186" s="5"/>
      <c r="C186" s="5" t="s">
        <v>963</v>
      </c>
      <c r="D186" s="5"/>
      <c r="E186" s="5"/>
      <c r="F186" s="5" t="n">
        <v>0</v>
      </c>
      <c r="G186" s="5" t="s">
        <v>740</v>
      </c>
      <c r="H186" s="5" t="s">
        <v>71</v>
      </c>
      <c r="I186" s="5"/>
      <c r="J186" s="5"/>
      <c r="K186" s="7" t="s">
        <v>886</v>
      </c>
    </row>
    <row r="187" customFormat="false" ht="15" hidden="false" customHeight="false" outlineLevel="0" collapsed="false">
      <c r="A187" s="5" t="s">
        <v>464</v>
      </c>
      <c r="B187" s="5"/>
      <c r="C187" s="5" t="s">
        <v>964</v>
      </c>
      <c r="D187" s="5"/>
      <c r="E187" s="5"/>
      <c r="F187" s="5" t="n">
        <v>0</v>
      </c>
      <c r="G187" s="5" t="s">
        <v>740</v>
      </c>
      <c r="H187" s="5" t="s">
        <v>71</v>
      </c>
      <c r="I187" s="5"/>
      <c r="J187" s="5"/>
      <c r="K187" s="7" t="s">
        <v>886</v>
      </c>
    </row>
    <row r="188" customFormat="false" ht="15" hidden="false" customHeight="false" outlineLevel="0" collapsed="false">
      <c r="A188" s="5" t="s">
        <v>464</v>
      </c>
      <c r="B188" s="5"/>
      <c r="C188" s="5" t="s">
        <v>965</v>
      </c>
      <c r="D188" s="5"/>
      <c r="E188" s="5"/>
      <c r="F188" s="5" t="n">
        <v>0</v>
      </c>
      <c r="G188" s="5" t="s">
        <v>740</v>
      </c>
      <c r="H188" s="5" t="s">
        <v>71</v>
      </c>
      <c r="I188" s="5"/>
      <c r="J188" s="5"/>
      <c r="K188" s="7" t="s">
        <v>886</v>
      </c>
    </row>
    <row r="189" customFormat="false" ht="15" hidden="false" customHeight="false" outlineLevel="0" collapsed="false">
      <c r="A189" s="5" t="s">
        <v>464</v>
      </c>
      <c r="B189" s="5"/>
      <c r="C189" s="5" t="s">
        <v>966</v>
      </c>
      <c r="D189" s="5"/>
      <c r="E189" s="5"/>
      <c r="F189" s="5" t="n">
        <v>0</v>
      </c>
      <c r="G189" s="5" t="s">
        <v>740</v>
      </c>
      <c r="H189" s="5" t="s">
        <v>71</v>
      </c>
      <c r="I189" s="5"/>
      <c r="J189" s="5"/>
      <c r="K189" s="7" t="s">
        <v>886</v>
      </c>
    </row>
    <row r="190" customFormat="false" ht="15" hidden="false" customHeight="false" outlineLevel="0" collapsed="false">
      <c r="A190" s="5" t="s">
        <v>464</v>
      </c>
      <c r="B190" s="5"/>
      <c r="C190" s="5" t="s">
        <v>967</v>
      </c>
      <c r="D190" s="5"/>
      <c r="E190" s="5"/>
      <c r="F190" s="5" t="n">
        <v>0</v>
      </c>
      <c r="G190" s="5" t="s">
        <v>740</v>
      </c>
      <c r="H190" s="5" t="s">
        <v>71</v>
      </c>
      <c r="I190" s="5"/>
      <c r="J190" s="5"/>
      <c r="K190" s="7" t="s">
        <v>886</v>
      </c>
    </row>
    <row r="191" customFormat="false" ht="15" hidden="false" customHeight="false" outlineLevel="0" collapsed="false">
      <c r="A191" s="5" t="s">
        <v>464</v>
      </c>
      <c r="B191" s="5"/>
      <c r="C191" s="5" t="s">
        <v>968</v>
      </c>
      <c r="D191" s="5"/>
      <c r="E191" s="5"/>
      <c r="F191" s="5" t="n">
        <v>0</v>
      </c>
      <c r="G191" s="5" t="s">
        <v>740</v>
      </c>
      <c r="H191" s="5" t="s">
        <v>71</v>
      </c>
      <c r="I191" s="5"/>
      <c r="J191" s="5"/>
      <c r="K191" s="7" t="s">
        <v>886</v>
      </c>
    </row>
    <row r="192" customFormat="false" ht="15" hidden="false" customHeight="false" outlineLevel="0" collapsed="false">
      <c r="A192" s="5" t="s">
        <v>464</v>
      </c>
      <c r="B192" s="5"/>
      <c r="C192" s="5" t="s">
        <v>969</v>
      </c>
      <c r="D192" s="5"/>
      <c r="E192" s="5"/>
      <c r="F192" s="5" t="n">
        <v>0</v>
      </c>
      <c r="G192" s="5" t="s">
        <v>740</v>
      </c>
      <c r="H192" s="5" t="s">
        <v>71</v>
      </c>
      <c r="I192" s="5"/>
      <c r="J192" s="5"/>
      <c r="K192" s="7" t="s">
        <v>886</v>
      </c>
    </row>
    <row r="193" customFormat="false" ht="15" hidden="false" customHeight="false" outlineLevel="0" collapsed="false">
      <c r="A193" s="5" t="s">
        <v>464</v>
      </c>
      <c r="B193" s="5"/>
      <c r="C193" s="5" t="s">
        <v>970</v>
      </c>
      <c r="D193" s="5"/>
      <c r="E193" s="5"/>
      <c r="F193" s="5" t="n">
        <v>0</v>
      </c>
      <c r="G193" s="5" t="s">
        <v>740</v>
      </c>
      <c r="H193" s="5" t="s">
        <v>71</v>
      </c>
      <c r="I193" s="5"/>
      <c r="J193" s="5"/>
      <c r="K193" s="7" t="s">
        <v>886</v>
      </c>
    </row>
    <row r="194" customFormat="false" ht="15" hidden="false" customHeight="false" outlineLevel="0" collapsed="false">
      <c r="A194" s="5" t="s">
        <v>464</v>
      </c>
      <c r="B194" s="5"/>
      <c r="C194" s="5" t="s">
        <v>971</v>
      </c>
      <c r="D194" s="5"/>
      <c r="E194" s="5"/>
      <c r="F194" s="5" t="n">
        <v>0</v>
      </c>
      <c r="G194" s="5" t="s">
        <v>740</v>
      </c>
      <c r="H194" s="5" t="s">
        <v>71</v>
      </c>
      <c r="I194" s="5"/>
      <c r="J194" s="5"/>
      <c r="K194" s="7" t="s">
        <v>886</v>
      </c>
    </row>
    <row r="195" customFormat="false" ht="15" hidden="false" customHeight="false" outlineLevel="0" collapsed="false">
      <c r="A195" s="5" t="s">
        <v>464</v>
      </c>
      <c r="B195" s="5"/>
      <c r="C195" s="5" t="s">
        <v>972</v>
      </c>
      <c r="D195" s="5"/>
      <c r="E195" s="5"/>
      <c r="F195" s="5" t="n">
        <v>0</v>
      </c>
      <c r="G195" s="5" t="s">
        <v>740</v>
      </c>
      <c r="H195" s="5" t="s">
        <v>71</v>
      </c>
      <c r="I195" s="5"/>
      <c r="J195" s="5"/>
      <c r="K195" s="7" t="s">
        <v>886</v>
      </c>
    </row>
    <row r="196" customFormat="false" ht="15" hidden="false" customHeight="false" outlineLevel="0" collapsed="false">
      <c r="A196" s="5" t="s">
        <v>464</v>
      </c>
      <c r="B196" s="5"/>
      <c r="C196" s="5" t="s">
        <v>973</v>
      </c>
      <c r="D196" s="5"/>
      <c r="E196" s="5"/>
      <c r="F196" s="5" t="n">
        <v>0</v>
      </c>
      <c r="G196" s="5" t="s">
        <v>740</v>
      </c>
      <c r="H196" s="5" t="s">
        <v>71</v>
      </c>
      <c r="I196" s="5"/>
      <c r="J196" s="5"/>
      <c r="K196" s="7" t="s">
        <v>886</v>
      </c>
    </row>
    <row r="197" customFormat="false" ht="15" hidden="false" customHeight="false" outlineLevel="0" collapsed="false">
      <c r="A197" s="5" t="s">
        <v>464</v>
      </c>
      <c r="B197" s="5"/>
      <c r="C197" s="5" t="s">
        <v>974</v>
      </c>
      <c r="D197" s="5"/>
      <c r="E197" s="5"/>
      <c r="F197" s="5" t="n">
        <v>0</v>
      </c>
      <c r="G197" s="5" t="s">
        <v>740</v>
      </c>
      <c r="H197" s="5" t="s">
        <v>71</v>
      </c>
      <c r="I197" s="5"/>
      <c r="J197" s="5"/>
      <c r="K197" s="7" t="s">
        <v>886</v>
      </c>
    </row>
    <row r="198" customFormat="false" ht="15" hidden="false" customHeight="false" outlineLevel="0" collapsed="false">
      <c r="A198" s="5" t="s">
        <v>464</v>
      </c>
      <c r="B198" s="5"/>
      <c r="C198" s="5" t="s">
        <v>975</v>
      </c>
      <c r="D198" s="5"/>
      <c r="E198" s="5"/>
      <c r="F198" s="5" t="n">
        <v>0</v>
      </c>
      <c r="G198" s="5" t="s">
        <v>740</v>
      </c>
      <c r="H198" s="5" t="s">
        <v>71</v>
      </c>
      <c r="I198" s="5"/>
      <c r="J198" s="5"/>
      <c r="K198" s="7" t="s">
        <v>886</v>
      </c>
    </row>
    <row r="199" customFormat="false" ht="15" hidden="false" customHeight="false" outlineLevel="0" collapsed="false">
      <c r="A199" s="5" t="s">
        <v>464</v>
      </c>
      <c r="B199" s="5"/>
      <c r="C199" s="5" t="s">
        <v>976</v>
      </c>
      <c r="D199" s="5"/>
      <c r="E199" s="5"/>
      <c r="F199" s="5" t="n">
        <v>0</v>
      </c>
      <c r="G199" s="5" t="s">
        <v>740</v>
      </c>
      <c r="H199" s="5" t="s">
        <v>71</v>
      </c>
      <c r="I199" s="5"/>
      <c r="J199" s="5"/>
      <c r="K199" s="7" t="s">
        <v>886</v>
      </c>
    </row>
    <row r="200" customFormat="false" ht="23.85" hidden="false" customHeight="false" outlineLevel="0" collapsed="false">
      <c r="A200" s="5" t="s">
        <v>464</v>
      </c>
      <c r="B200" s="5"/>
      <c r="C200" s="5" t="s">
        <v>977</v>
      </c>
      <c r="D200" s="5"/>
      <c r="E200" s="5"/>
      <c r="F200" s="5" t="n">
        <v>0</v>
      </c>
      <c r="G200" s="5" t="s">
        <v>740</v>
      </c>
      <c r="H200" s="5" t="s">
        <v>71</v>
      </c>
      <c r="I200" s="5"/>
      <c r="J200" s="5"/>
      <c r="K200" s="7" t="s">
        <v>978</v>
      </c>
    </row>
    <row r="201" customFormat="false" ht="15" hidden="false" customHeight="false" outlineLevel="0" collapsed="false">
      <c r="A201" s="5" t="s">
        <v>464</v>
      </c>
      <c r="B201" s="5"/>
      <c r="C201" s="5" t="s">
        <v>979</v>
      </c>
      <c r="D201" s="5"/>
      <c r="E201" s="5"/>
      <c r="F201" s="5" t="n">
        <v>0</v>
      </c>
      <c r="G201" s="5" t="s">
        <v>740</v>
      </c>
      <c r="H201" s="5" t="s">
        <v>71</v>
      </c>
      <c r="I201" s="5"/>
      <c r="J201" s="5"/>
      <c r="K201" s="7" t="s">
        <v>886</v>
      </c>
    </row>
    <row r="202" customFormat="false" ht="15" hidden="false" customHeight="false" outlineLevel="0" collapsed="false">
      <c r="A202" s="5" t="s">
        <v>464</v>
      </c>
      <c r="B202" s="5"/>
      <c r="C202" s="5" t="s">
        <v>980</v>
      </c>
      <c r="D202" s="5"/>
      <c r="E202" s="5"/>
      <c r="F202" s="5" t="n">
        <v>0</v>
      </c>
      <c r="G202" s="5" t="s">
        <v>740</v>
      </c>
      <c r="H202" s="5" t="s">
        <v>71</v>
      </c>
      <c r="I202" s="5"/>
      <c r="J202" s="5"/>
      <c r="K202" s="7" t="s">
        <v>886</v>
      </c>
    </row>
    <row r="203" customFormat="false" ht="15" hidden="false" customHeight="false" outlineLevel="0" collapsed="false">
      <c r="A203" s="5" t="s">
        <v>464</v>
      </c>
      <c r="B203" s="5"/>
      <c r="C203" s="5" t="s">
        <v>981</v>
      </c>
      <c r="D203" s="5"/>
      <c r="E203" s="5"/>
      <c r="F203" s="5" t="n">
        <v>0</v>
      </c>
      <c r="G203" s="5" t="s">
        <v>740</v>
      </c>
      <c r="H203" s="5" t="s">
        <v>71</v>
      </c>
      <c r="I203" s="5"/>
      <c r="J203" s="5"/>
      <c r="K203" s="7" t="s">
        <v>886</v>
      </c>
    </row>
    <row r="204" customFormat="false" ht="15" hidden="false" customHeight="false" outlineLevel="0" collapsed="false">
      <c r="A204" s="5" t="s">
        <v>464</v>
      </c>
      <c r="B204" s="5"/>
      <c r="C204" s="5" t="s">
        <v>982</v>
      </c>
      <c r="D204" s="5"/>
      <c r="E204" s="5"/>
      <c r="F204" s="5" t="n">
        <v>0</v>
      </c>
      <c r="G204" s="5" t="s">
        <v>740</v>
      </c>
      <c r="H204" s="5" t="s">
        <v>71</v>
      </c>
      <c r="I204" s="5"/>
      <c r="J204" s="5"/>
      <c r="K204" s="7" t="s">
        <v>886</v>
      </c>
    </row>
    <row r="205" customFormat="false" ht="15" hidden="false" customHeight="false" outlineLevel="0" collapsed="false">
      <c r="A205" s="5" t="s">
        <v>464</v>
      </c>
      <c r="B205" s="5"/>
      <c r="C205" s="5" t="s">
        <v>983</v>
      </c>
      <c r="D205" s="5"/>
      <c r="E205" s="5"/>
      <c r="F205" s="5" t="n">
        <v>0</v>
      </c>
      <c r="G205" s="5" t="s">
        <v>740</v>
      </c>
      <c r="H205" s="5" t="s">
        <v>71</v>
      </c>
      <c r="I205" s="5"/>
      <c r="J205" s="5"/>
      <c r="K205" s="7" t="s">
        <v>886</v>
      </c>
    </row>
    <row r="206" customFormat="false" ht="15" hidden="false" customHeight="false" outlineLevel="0" collapsed="false">
      <c r="A206" s="5" t="s">
        <v>464</v>
      </c>
      <c r="B206" s="5"/>
      <c r="C206" s="5" t="s">
        <v>984</v>
      </c>
      <c r="D206" s="5"/>
      <c r="E206" s="5"/>
      <c r="F206" s="5" t="n">
        <v>0</v>
      </c>
      <c r="G206" s="5" t="s">
        <v>740</v>
      </c>
      <c r="H206" s="5" t="s">
        <v>71</v>
      </c>
      <c r="I206" s="5"/>
      <c r="J206" s="5"/>
      <c r="K206" s="7" t="s">
        <v>886</v>
      </c>
    </row>
    <row r="207" customFormat="false" ht="15" hidden="false" customHeight="false" outlineLevel="0" collapsed="false">
      <c r="A207" s="5" t="s">
        <v>464</v>
      </c>
      <c r="B207" s="5"/>
      <c r="C207" s="5" t="s">
        <v>985</v>
      </c>
      <c r="D207" s="5"/>
      <c r="E207" s="5"/>
      <c r="F207" s="5" t="n">
        <v>0</v>
      </c>
      <c r="G207" s="5" t="s">
        <v>740</v>
      </c>
      <c r="H207" s="5" t="s">
        <v>71</v>
      </c>
      <c r="I207" s="5"/>
      <c r="J207" s="5"/>
      <c r="K207" s="7" t="s">
        <v>886</v>
      </c>
    </row>
    <row r="208" customFormat="false" ht="15" hidden="false" customHeight="false" outlineLevel="0" collapsed="false">
      <c r="A208" s="5" t="s">
        <v>464</v>
      </c>
      <c r="B208" s="5"/>
      <c r="C208" s="5" t="s">
        <v>986</v>
      </c>
      <c r="D208" s="5"/>
      <c r="E208" s="5"/>
      <c r="F208" s="5" t="n">
        <v>0</v>
      </c>
      <c r="G208" s="5" t="s">
        <v>740</v>
      </c>
      <c r="H208" s="5" t="s">
        <v>71</v>
      </c>
      <c r="I208" s="5"/>
      <c r="J208" s="5"/>
      <c r="K208" s="7" t="s">
        <v>886</v>
      </c>
    </row>
    <row r="209" customFormat="false" ht="15" hidden="false" customHeight="false" outlineLevel="0" collapsed="false">
      <c r="A209" s="5" t="s">
        <v>464</v>
      </c>
      <c r="B209" s="5"/>
      <c r="C209" s="5" t="s">
        <v>987</v>
      </c>
      <c r="D209" s="5"/>
      <c r="E209" s="5"/>
      <c r="F209" s="5" t="n">
        <v>0</v>
      </c>
      <c r="G209" s="5" t="s">
        <v>740</v>
      </c>
      <c r="H209" s="5" t="s">
        <v>71</v>
      </c>
      <c r="I209" s="5"/>
      <c r="J209" s="5"/>
      <c r="K209" s="7" t="s">
        <v>886</v>
      </c>
    </row>
    <row r="210" customFormat="false" ht="15" hidden="false" customHeight="false" outlineLevel="0" collapsed="false">
      <c r="A210" s="5" t="s">
        <v>464</v>
      </c>
      <c r="B210" s="5"/>
      <c r="C210" s="5" t="s">
        <v>988</v>
      </c>
      <c r="D210" s="5"/>
      <c r="E210" s="5"/>
      <c r="F210" s="5" t="n">
        <v>0</v>
      </c>
      <c r="G210" s="5" t="s">
        <v>740</v>
      </c>
      <c r="H210" s="5" t="s">
        <v>71</v>
      </c>
      <c r="I210" s="5"/>
      <c r="J210" s="5"/>
      <c r="K210" s="7" t="s">
        <v>886</v>
      </c>
    </row>
    <row r="211" customFormat="false" ht="15" hidden="false" customHeight="false" outlineLevel="0" collapsed="false">
      <c r="A211" s="5" t="s">
        <v>464</v>
      </c>
      <c r="B211" s="5"/>
      <c r="C211" s="5" t="s">
        <v>989</v>
      </c>
      <c r="D211" s="5"/>
      <c r="E211" s="5"/>
      <c r="F211" s="5" t="n">
        <v>0</v>
      </c>
      <c r="G211" s="5" t="s">
        <v>740</v>
      </c>
      <c r="H211" s="5" t="s">
        <v>71</v>
      </c>
      <c r="I211" s="5"/>
      <c r="J211" s="5"/>
      <c r="K211" s="7" t="s">
        <v>886</v>
      </c>
    </row>
    <row r="212" customFormat="false" ht="15" hidden="false" customHeight="false" outlineLevel="0" collapsed="false">
      <c r="A212" s="5" t="s">
        <v>464</v>
      </c>
      <c r="B212" s="5"/>
      <c r="C212" s="5" t="s">
        <v>990</v>
      </c>
      <c r="D212" s="5"/>
      <c r="E212" s="5"/>
      <c r="F212" s="5" t="n">
        <v>0</v>
      </c>
      <c r="G212" s="5" t="s">
        <v>740</v>
      </c>
      <c r="H212" s="5" t="s">
        <v>71</v>
      </c>
      <c r="I212" s="5"/>
      <c r="J212" s="5"/>
      <c r="K212" s="7" t="s">
        <v>886</v>
      </c>
    </row>
    <row r="213" customFormat="false" ht="15" hidden="false" customHeight="false" outlineLevel="0" collapsed="false">
      <c r="A213" s="5" t="s">
        <v>464</v>
      </c>
      <c r="B213" s="5"/>
      <c r="C213" s="5" t="s">
        <v>991</v>
      </c>
      <c r="D213" s="5"/>
      <c r="E213" s="5"/>
      <c r="F213" s="5" t="n">
        <v>0</v>
      </c>
      <c r="G213" s="5" t="s">
        <v>740</v>
      </c>
      <c r="H213" s="5" t="s">
        <v>71</v>
      </c>
      <c r="I213" s="5"/>
      <c r="J213" s="5"/>
      <c r="K213" s="7" t="s">
        <v>886</v>
      </c>
    </row>
    <row r="214" customFormat="false" ht="15" hidden="false" customHeight="false" outlineLevel="0" collapsed="false">
      <c r="A214" s="5" t="s">
        <v>464</v>
      </c>
      <c r="B214" s="5"/>
      <c r="C214" s="5" t="s">
        <v>992</v>
      </c>
      <c r="D214" s="5"/>
      <c r="E214" s="5"/>
      <c r="F214" s="5" t="n">
        <v>0</v>
      </c>
      <c r="G214" s="5" t="s">
        <v>740</v>
      </c>
      <c r="H214" s="5" t="s">
        <v>71</v>
      </c>
      <c r="I214" s="5"/>
      <c r="J214" s="5"/>
      <c r="K214" s="7" t="s">
        <v>886</v>
      </c>
    </row>
    <row r="215" customFormat="false" ht="15" hidden="false" customHeight="false" outlineLevel="0" collapsed="false">
      <c r="A215" s="5" t="s">
        <v>464</v>
      </c>
      <c r="B215" s="5"/>
      <c r="C215" s="5" t="s">
        <v>993</v>
      </c>
      <c r="D215" s="5"/>
      <c r="E215" s="5"/>
      <c r="F215" s="5" t="n">
        <v>0</v>
      </c>
      <c r="G215" s="5" t="s">
        <v>740</v>
      </c>
      <c r="H215" s="5" t="s">
        <v>71</v>
      </c>
      <c r="I215" s="5"/>
      <c r="J215" s="5"/>
      <c r="K215" s="7" t="s">
        <v>886</v>
      </c>
    </row>
    <row r="216" customFormat="false" ht="15" hidden="false" customHeight="false" outlineLevel="0" collapsed="false">
      <c r="A216" s="5" t="s">
        <v>464</v>
      </c>
      <c r="B216" s="5"/>
      <c r="C216" s="5" t="s">
        <v>994</v>
      </c>
      <c r="D216" s="5"/>
      <c r="E216" s="5"/>
      <c r="F216" s="5" t="n">
        <v>0</v>
      </c>
      <c r="G216" s="5" t="s">
        <v>740</v>
      </c>
      <c r="H216" s="5" t="s">
        <v>71</v>
      </c>
      <c r="I216" s="5"/>
      <c r="J216" s="5"/>
      <c r="K216" s="7" t="s">
        <v>886</v>
      </c>
    </row>
    <row r="217" customFormat="false" ht="15" hidden="false" customHeight="false" outlineLevel="0" collapsed="false">
      <c r="A217" s="5" t="s">
        <v>464</v>
      </c>
      <c r="B217" s="5"/>
      <c r="C217" s="5" t="s">
        <v>995</v>
      </c>
      <c r="D217" s="5"/>
      <c r="E217" s="5"/>
      <c r="F217" s="5" t="n">
        <v>0</v>
      </c>
      <c r="G217" s="5" t="s">
        <v>740</v>
      </c>
      <c r="H217" s="5" t="s">
        <v>71</v>
      </c>
      <c r="I217" s="5"/>
      <c r="J217" s="5"/>
      <c r="K217" s="7" t="s">
        <v>886</v>
      </c>
    </row>
    <row r="218" customFormat="false" ht="15" hidden="false" customHeight="false" outlineLevel="0" collapsed="false">
      <c r="A218" s="5" t="s">
        <v>464</v>
      </c>
      <c r="B218" s="5"/>
      <c r="C218" s="5" t="s">
        <v>996</v>
      </c>
      <c r="D218" s="5"/>
      <c r="E218" s="5"/>
      <c r="F218" s="5" t="n">
        <v>0</v>
      </c>
      <c r="G218" s="5" t="s">
        <v>740</v>
      </c>
      <c r="H218" s="5" t="s">
        <v>71</v>
      </c>
      <c r="I218" s="5"/>
      <c r="J218" s="5"/>
      <c r="K218" s="7" t="s">
        <v>886</v>
      </c>
    </row>
    <row r="219" customFormat="false" ht="15" hidden="false" customHeight="false" outlineLevel="0" collapsed="false">
      <c r="A219" s="5" t="s">
        <v>464</v>
      </c>
      <c r="B219" s="5"/>
      <c r="C219" s="5" t="s">
        <v>997</v>
      </c>
      <c r="D219" s="5"/>
      <c r="E219" s="5"/>
      <c r="F219" s="5" t="n">
        <v>0</v>
      </c>
      <c r="G219" s="5" t="s">
        <v>740</v>
      </c>
      <c r="H219" s="5" t="s">
        <v>71</v>
      </c>
      <c r="I219" s="5"/>
      <c r="J219" s="5"/>
      <c r="K219" s="7" t="s">
        <v>886</v>
      </c>
    </row>
    <row r="220" customFormat="false" ht="15" hidden="false" customHeight="false" outlineLevel="0" collapsed="false">
      <c r="A220" s="5" t="s">
        <v>464</v>
      </c>
      <c r="B220" s="5"/>
      <c r="C220" s="5" t="s">
        <v>998</v>
      </c>
      <c r="D220" s="5"/>
      <c r="E220" s="5"/>
      <c r="F220" s="5" t="n">
        <v>0</v>
      </c>
      <c r="G220" s="5" t="s">
        <v>740</v>
      </c>
      <c r="H220" s="5" t="s">
        <v>71</v>
      </c>
      <c r="I220" s="5"/>
      <c r="J220" s="5"/>
      <c r="K220" s="7" t="s">
        <v>886</v>
      </c>
    </row>
    <row r="221" customFormat="false" ht="15" hidden="false" customHeight="false" outlineLevel="0" collapsed="false">
      <c r="A221" s="5" t="s">
        <v>464</v>
      </c>
      <c r="B221" s="5"/>
      <c r="C221" s="5" t="s">
        <v>999</v>
      </c>
      <c r="D221" s="5"/>
      <c r="E221" s="5"/>
      <c r="F221" s="5" t="n">
        <v>0</v>
      </c>
      <c r="G221" s="5" t="s">
        <v>740</v>
      </c>
      <c r="H221" s="5" t="s">
        <v>71</v>
      </c>
      <c r="I221" s="5"/>
      <c r="J221" s="5"/>
      <c r="K221" s="7" t="s">
        <v>886</v>
      </c>
    </row>
    <row r="222" customFormat="false" ht="15" hidden="false" customHeight="false" outlineLevel="0" collapsed="false">
      <c r="A222" s="5" t="s">
        <v>464</v>
      </c>
      <c r="B222" s="5"/>
      <c r="C222" s="5" t="s">
        <v>1000</v>
      </c>
      <c r="D222" s="5"/>
      <c r="E222" s="5"/>
      <c r="F222" s="5" t="n">
        <v>0</v>
      </c>
      <c r="G222" s="5" t="s">
        <v>740</v>
      </c>
      <c r="H222" s="5" t="s">
        <v>71</v>
      </c>
      <c r="I222" s="5"/>
      <c r="J222" s="5"/>
      <c r="K222" s="7" t="s">
        <v>886</v>
      </c>
    </row>
    <row r="223" customFormat="false" ht="15" hidden="false" customHeight="false" outlineLevel="0" collapsed="false">
      <c r="A223" s="5" t="s">
        <v>464</v>
      </c>
      <c r="B223" s="5"/>
      <c r="C223" s="5" t="s">
        <v>1001</v>
      </c>
      <c r="D223" s="5"/>
      <c r="E223" s="5"/>
      <c r="F223" s="5" t="n">
        <v>0</v>
      </c>
      <c r="G223" s="5" t="s">
        <v>740</v>
      </c>
      <c r="H223" s="5" t="s">
        <v>71</v>
      </c>
      <c r="I223" s="5"/>
      <c r="J223" s="5"/>
      <c r="K223" s="7" t="s">
        <v>886</v>
      </c>
    </row>
    <row r="224" customFormat="false" ht="35.05" hidden="false" customHeight="false" outlineLevel="0" collapsed="false">
      <c r="A224" s="5" t="s">
        <v>464</v>
      </c>
      <c r="B224" s="5"/>
      <c r="C224" s="5" t="s">
        <v>1002</v>
      </c>
      <c r="D224" s="5"/>
      <c r="E224" s="5" t="s">
        <v>1003</v>
      </c>
      <c r="F224" s="5" t="n">
        <v>1</v>
      </c>
      <c r="G224" s="5" t="s">
        <v>740</v>
      </c>
      <c r="H224" s="5" t="s">
        <v>71</v>
      </c>
      <c r="I224" s="5"/>
      <c r="J224" s="5"/>
      <c r="K224" s="5"/>
    </row>
    <row r="225" customFormat="false" ht="23.85" hidden="false" customHeight="false" outlineLevel="0" collapsed="false">
      <c r="A225" s="5" t="s">
        <v>464</v>
      </c>
      <c r="B225" s="5"/>
      <c r="C225" s="5" t="s">
        <v>1004</v>
      </c>
      <c r="D225" s="5"/>
      <c r="E225" s="5"/>
      <c r="F225" s="5" t="n">
        <v>0</v>
      </c>
      <c r="G225" s="5" t="s">
        <v>740</v>
      </c>
      <c r="H225" s="5" t="s">
        <v>71</v>
      </c>
      <c r="I225" s="5"/>
      <c r="J225" s="5"/>
      <c r="K225" s="7" t="s">
        <v>1005</v>
      </c>
    </row>
    <row r="226" customFormat="false" ht="15" hidden="false" customHeight="false" outlineLevel="0" collapsed="false">
      <c r="A226" s="5" t="s">
        <v>464</v>
      </c>
      <c r="B226" s="5"/>
      <c r="C226" s="5" t="s">
        <v>1006</v>
      </c>
      <c r="D226" s="5"/>
      <c r="E226" s="5"/>
      <c r="F226" s="5" t="n">
        <v>0</v>
      </c>
      <c r="G226" s="5" t="s">
        <v>740</v>
      </c>
      <c r="H226" s="5" t="s">
        <v>71</v>
      </c>
      <c r="I226" s="5"/>
      <c r="J226" s="5"/>
      <c r="K226" s="7" t="s">
        <v>886</v>
      </c>
    </row>
    <row r="227" customFormat="false" ht="23.85" hidden="false" customHeight="false" outlineLevel="0" collapsed="false">
      <c r="A227" s="5" t="s">
        <v>464</v>
      </c>
      <c r="B227" s="5"/>
      <c r="C227" s="5" t="s">
        <v>1007</v>
      </c>
      <c r="D227" s="5"/>
      <c r="E227" s="5"/>
      <c r="F227" s="5" t="n">
        <v>0</v>
      </c>
      <c r="G227" s="5" t="s">
        <v>740</v>
      </c>
      <c r="H227" s="5" t="s">
        <v>71</v>
      </c>
      <c r="I227" s="5"/>
      <c r="J227" s="5"/>
      <c r="K227" s="7" t="s">
        <v>1008</v>
      </c>
    </row>
    <row r="228" customFormat="false" ht="35.05" hidden="false" customHeight="false" outlineLevel="0" collapsed="false">
      <c r="A228" s="5" t="s">
        <v>464</v>
      </c>
      <c r="B228" s="5"/>
      <c r="C228" s="5" t="s">
        <v>1009</v>
      </c>
      <c r="D228" s="5"/>
      <c r="E228" s="5" t="s">
        <v>1010</v>
      </c>
      <c r="F228" s="5" t="n">
        <v>1</v>
      </c>
      <c r="G228" s="5" t="s">
        <v>740</v>
      </c>
      <c r="H228" s="5" t="s">
        <v>71</v>
      </c>
      <c r="I228" s="5"/>
      <c r="J228" s="5"/>
      <c r="K228" s="5"/>
    </row>
    <row r="229" customFormat="false" ht="15" hidden="false" customHeight="false" outlineLevel="0" collapsed="false">
      <c r="A229" s="5" t="s">
        <v>464</v>
      </c>
      <c r="B229" s="5"/>
      <c r="C229" s="5" t="s">
        <v>1011</v>
      </c>
      <c r="D229" s="5"/>
      <c r="E229" s="5"/>
      <c r="F229" s="5" t="n">
        <v>0</v>
      </c>
      <c r="G229" s="5" t="s">
        <v>740</v>
      </c>
      <c r="H229" s="5" t="s">
        <v>71</v>
      </c>
      <c r="I229" s="5"/>
      <c r="J229" s="5"/>
      <c r="K229" s="7" t="s">
        <v>886</v>
      </c>
    </row>
    <row r="230" customFormat="false" ht="15" hidden="false" customHeight="false" outlineLevel="0" collapsed="false">
      <c r="A230" s="5" t="s">
        <v>464</v>
      </c>
      <c r="B230" s="5"/>
      <c r="C230" s="5" t="s">
        <v>1012</v>
      </c>
      <c r="D230" s="5"/>
      <c r="E230" s="5"/>
      <c r="F230" s="5" t="n">
        <v>0</v>
      </c>
      <c r="G230" s="5" t="s">
        <v>740</v>
      </c>
      <c r="H230" s="5" t="s">
        <v>71</v>
      </c>
      <c r="I230" s="5"/>
      <c r="J230" s="5"/>
      <c r="K230" s="7" t="s">
        <v>886</v>
      </c>
    </row>
    <row r="231" customFormat="false" ht="15" hidden="false" customHeight="false" outlineLevel="0" collapsed="false">
      <c r="A231" s="5" t="s">
        <v>464</v>
      </c>
      <c r="B231" s="5"/>
      <c r="C231" s="5" t="s">
        <v>1013</v>
      </c>
      <c r="D231" s="5"/>
      <c r="E231" s="5"/>
      <c r="F231" s="5" t="n">
        <v>0</v>
      </c>
      <c r="G231" s="5" t="s">
        <v>740</v>
      </c>
      <c r="H231" s="5" t="s">
        <v>71</v>
      </c>
      <c r="I231" s="5"/>
      <c r="J231" s="5"/>
      <c r="K231" s="7" t="s">
        <v>886</v>
      </c>
    </row>
    <row r="232" customFormat="false" ht="15" hidden="false" customHeight="false" outlineLevel="0" collapsed="false">
      <c r="A232" s="5" t="s">
        <v>464</v>
      </c>
      <c r="B232" s="5"/>
      <c r="C232" s="5" t="s">
        <v>1014</v>
      </c>
      <c r="D232" s="5"/>
      <c r="E232" s="5"/>
      <c r="F232" s="5" t="n">
        <v>0</v>
      </c>
      <c r="G232" s="5" t="s">
        <v>740</v>
      </c>
      <c r="H232" s="5" t="s">
        <v>71</v>
      </c>
      <c r="I232" s="5"/>
      <c r="J232" s="5"/>
      <c r="K232" s="7" t="s">
        <v>886</v>
      </c>
    </row>
    <row r="233" customFormat="false" ht="15" hidden="false" customHeight="false" outlineLevel="0" collapsed="false">
      <c r="A233" s="5" t="s">
        <v>464</v>
      </c>
      <c r="B233" s="5"/>
      <c r="C233" s="5" t="s">
        <v>1015</v>
      </c>
      <c r="D233" s="5"/>
      <c r="E233" s="5"/>
      <c r="F233" s="5" t="n">
        <v>0</v>
      </c>
      <c r="G233" s="5" t="s">
        <v>740</v>
      </c>
      <c r="H233" s="5" t="s">
        <v>71</v>
      </c>
      <c r="I233" s="5"/>
      <c r="J233" s="5"/>
      <c r="K233" s="7" t="s">
        <v>886</v>
      </c>
    </row>
    <row r="234" customFormat="false" ht="15" hidden="false" customHeight="false" outlineLevel="0" collapsed="false">
      <c r="A234" s="5" t="s">
        <v>464</v>
      </c>
      <c r="B234" s="5"/>
      <c r="C234" s="5" t="s">
        <v>1016</v>
      </c>
      <c r="D234" s="5"/>
      <c r="E234" s="5"/>
      <c r="F234" s="5" t="n">
        <v>0</v>
      </c>
      <c r="G234" s="5" t="s">
        <v>740</v>
      </c>
      <c r="H234" s="5" t="s">
        <v>71</v>
      </c>
      <c r="I234" s="5"/>
      <c r="J234" s="5"/>
      <c r="K234" s="7" t="s">
        <v>886</v>
      </c>
    </row>
    <row r="235" customFormat="false" ht="15" hidden="false" customHeight="false" outlineLevel="0" collapsed="false">
      <c r="A235" s="5" t="s">
        <v>464</v>
      </c>
      <c r="B235" s="5"/>
      <c r="C235" s="5" t="s">
        <v>1017</v>
      </c>
      <c r="D235" s="5"/>
      <c r="E235" s="5"/>
      <c r="F235" s="5" t="n">
        <v>0</v>
      </c>
      <c r="G235" s="5" t="s">
        <v>740</v>
      </c>
      <c r="H235" s="5" t="s">
        <v>71</v>
      </c>
      <c r="I235" s="5"/>
      <c r="J235" s="5"/>
      <c r="K235" s="7" t="s">
        <v>886</v>
      </c>
    </row>
    <row r="236" customFormat="false" ht="15" hidden="false" customHeight="false" outlineLevel="0" collapsed="false">
      <c r="A236" s="5" t="s">
        <v>464</v>
      </c>
      <c r="B236" s="5"/>
      <c r="C236" s="5" t="s">
        <v>1018</v>
      </c>
      <c r="D236" s="5"/>
      <c r="E236" s="5"/>
      <c r="F236" s="5" t="n">
        <v>0</v>
      </c>
      <c r="G236" s="5" t="s">
        <v>740</v>
      </c>
      <c r="H236" s="5" t="s">
        <v>71</v>
      </c>
      <c r="I236" s="5"/>
      <c r="J236" s="5"/>
      <c r="K236" s="7" t="s">
        <v>886</v>
      </c>
    </row>
    <row r="237" customFormat="false" ht="15" hidden="false" customHeight="false" outlineLevel="0" collapsed="false">
      <c r="A237" s="5" t="s">
        <v>464</v>
      </c>
      <c r="B237" s="5"/>
      <c r="C237" s="5" t="s">
        <v>1019</v>
      </c>
      <c r="D237" s="5"/>
      <c r="E237" s="5"/>
      <c r="F237" s="5" t="n">
        <v>0</v>
      </c>
      <c r="G237" s="5" t="s">
        <v>740</v>
      </c>
      <c r="H237" s="5" t="s">
        <v>71</v>
      </c>
      <c r="I237" s="5"/>
      <c r="J237" s="5"/>
      <c r="K237" s="7" t="s">
        <v>886</v>
      </c>
    </row>
    <row r="238" customFormat="false" ht="15" hidden="false" customHeight="false" outlineLevel="0" collapsed="false">
      <c r="A238" s="5" t="s">
        <v>464</v>
      </c>
      <c r="B238" s="5"/>
      <c r="C238" s="5" t="s">
        <v>1020</v>
      </c>
      <c r="D238" s="5"/>
      <c r="E238" s="5"/>
      <c r="F238" s="5" t="n">
        <v>0</v>
      </c>
      <c r="G238" s="5" t="s">
        <v>740</v>
      </c>
      <c r="H238" s="5" t="s">
        <v>71</v>
      </c>
      <c r="I238" s="5"/>
      <c r="J238" s="5"/>
      <c r="K238" s="7" t="s">
        <v>886</v>
      </c>
    </row>
    <row r="239" customFormat="false" ht="15" hidden="false" customHeight="false" outlineLevel="0" collapsed="false">
      <c r="A239" s="5" t="s">
        <v>464</v>
      </c>
      <c r="B239" s="5"/>
      <c r="C239" s="5" t="s">
        <v>1021</v>
      </c>
      <c r="D239" s="5"/>
      <c r="E239" s="5"/>
      <c r="F239" s="5" t="n">
        <v>0</v>
      </c>
      <c r="G239" s="5" t="s">
        <v>740</v>
      </c>
      <c r="H239" s="5" t="s">
        <v>71</v>
      </c>
      <c r="I239" s="5"/>
      <c r="J239" s="5"/>
      <c r="K239" s="7" t="s">
        <v>886</v>
      </c>
    </row>
    <row r="240" customFormat="false" ht="15" hidden="false" customHeight="false" outlineLevel="0" collapsed="false">
      <c r="A240" s="5" t="s">
        <v>464</v>
      </c>
      <c r="B240" s="5"/>
      <c r="C240" s="5" t="s">
        <v>1022</v>
      </c>
      <c r="D240" s="5"/>
      <c r="E240" s="5" t="s">
        <v>1023</v>
      </c>
      <c r="F240" s="5" t="n">
        <v>0</v>
      </c>
      <c r="G240" s="5" t="s">
        <v>740</v>
      </c>
      <c r="H240" s="5" t="s">
        <v>1024</v>
      </c>
      <c r="I240" s="5"/>
      <c r="J240" s="5"/>
      <c r="K240" s="7" t="s">
        <v>1025</v>
      </c>
    </row>
    <row r="241" customFormat="false" ht="23.85" hidden="false" customHeight="false" outlineLevel="0" collapsed="false">
      <c r="A241" s="5" t="s">
        <v>464</v>
      </c>
      <c r="B241" s="5"/>
      <c r="C241" s="5" t="s">
        <v>1026</v>
      </c>
      <c r="D241" s="5"/>
      <c r="E241" s="5" t="s">
        <v>1027</v>
      </c>
      <c r="F241" s="5" t="n">
        <v>0</v>
      </c>
      <c r="G241" s="5" t="s">
        <v>740</v>
      </c>
      <c r="H241" s="5" t="s">
        <v>1024</v>
      </c>
      <c r="I241" s="5"/>
      <c r="J241" s="5"/>
      <c r="K241" s="7" t="s">
        <v>1028</v>
      </c>
    </row>
    <row r="242" customFormat="false" ht="15" hidden="false" customHeight="false" outlineLevel="0" collapsed="false">
      <c r="A242" s="5" t="s">
        <v>464</v>
      </c>
      <c r="B242" s="5"/>
      <c r="C242" s="5" t="s">
        <v>1029</v>
      </c>
      <c r="D242" s="5"/>
      <c r="E242" s="5" t="s">
        <v>1030</v>
      </c>
      <c r="F242" s="5" t="n">
        <v>0</v>
      </c>
      <c r="G242" s="5" t="s">
        <v>740</v>
      </c>
      <c r="H242" s="5" t="s">
        <v>1024</v>
      </c>
      <c r="I242" s="5"/>
      <c r="J242" s="5"/>
      <c r="K242" s="7" t="s">
        <v>1031</v>
      </c>
    </row>
    <row r="243" customFormat="false" ht="15" hidden="false" customHeight="false" outlineLevel="0" collapsed="false">
      <c r="A243" s="5" t="s">
        <v>565</v>
      </c>
      <c r="B243" s="5"/>
      <c r="C243" s="5" t="s">
        <v>1032</v>
      </c>
      <c r="D243" s="5"/>
      <c r="E243" s="5"/>
      <c r="F243" s="5" t="n">
        <v>0</v>
      </c>
      <c r="G243" s="5" t="s">
        <v>740</v>
      </c>
      <c r="H243" s="5" t="s">
        <v>71</v>
      </c>
      <c r="I243" s="5"/>
      <c r="J243" s="5"/>
      <c r="K243" s="7" t="s">
        <v>1033</v>
      </c>
    </row>
    <row r="244" customFormat="false" ht="15" hidden="false" customHeight="false" outlineLevel="0" collapsed="false">
      <c r="A244" s="5" t="s">
        <v>565</v>
      </c>
      <c r="B244" s="5"/>
      <c r="C244" s="5" t="s">
        <v>1034</v>
      </c>
      <c r="D244" s="5" t="s">
        <v>1035</v>
      </c>
      <c r="E244" s="5" t="s">
        <v>1036</v>
      </c>
      <c r="F244" s="5" t="n">
        <v>3</v>
      </c>
      <c r="G244" s="5" t="s">
        <v>740</v>
      </c>
      <c r="H244" s="5" t="s">
        <v>71</v>
      </c>
      <c r="I244" s="5"/>
      <c r="J244" s="5"/>
      <c r="K244" s="5"/>
    </row>
    <row r="245" customFormat="false" ht="15" hidden="false" customHeight="false" outlineLevel="0" collapsed="false">
      <c r="A245" s="5" t="s">
        <v>565</v>
      </c>
      <c r="B245" s="5"/>
      <c r="C245" s="5" t="s">
        <v>1037</v>
      </c>
      <c r="D245" s="5"/>
      <c r="E245" s="5"/>
      <c r="F245" s="5" t="n">
        <v>0</v>
      </c>
      <c r="G245" s="5" t="s">
        <v>740</v>
      </c>
      <c r="H245" s="5" t="s">
        <v>71</v>
      </c>
      <c r="I245" s="5"/>
      <c r="J245" s="5"/>
      <c r="K245" s="7" t="s">
        <v>1033</v>
      </c>
    </row>
    <row r="246" customFormat="false" ht="15" hidden="false" customHeight="false" outlineLevel="0" collapsed="false">
      <c r="A246" s="5" t="s">
        <v>565</v>
      </c>
      <c r="B246" s="5"/>
      <c r="C246" s="5" t="s">
        <v>1038</v>
      </c>
      <c r="D246" s="5" t="s">
        <v>1039</v>
      </c>
      <c r="E246" s="5" t="s">
        <v>1040</v>
      </c>
      <c r="F246" s="5" t="n">
        <v>1</v>
      </c>
      <c r="G246" s="5" t="s">
        <v>740</v>
      </c>
      <c r="H246" s="5" t="s">
        <v>71</v>
      </c>
      <c r="I246" s="5"/>
      <c r="J246" s="5"/>
      <c r="K246" s="5"/>
    </row>
    <row r="247" customFormat="false" ht="15" hidden="false" customHeight="false" outlineLevel="0" collapsed="false">
      <c r="A247" s="5" t="s">
        <v>565</v>
      </c>
      <c r="B247" s="5"/>
      <c r="C247" s="5" t="s">
        <v>1041</v>
      </c>
      <c r="D247" s="5"/>
      <c r="E247" s="5"/>
      <c r="F247" s="5" t="n">
        <v>0</v>
      </c>
      <c r="G247" s="5" t="s">
        <v>740</v>
      </c>
      <c r="H247" s="5" t="s">
        <v>71</v>
      </c>
      <c r="I247" s="5"/>
      <c r="J247" s="5"/>
      <c r="K247" s="7" t="s">
        <v>1033</v>
      </c>
    </row>
    <row r="248" customFormat="false" ht="15" hidden="false" customHeight="false" outlineLevel="0" collapsed="false">
      <c r="A248" s="5" t="s">
        <v>565</v>
      </c>
      <c r="B248" s="5"/>
      <c r="C248" s="5" t="s">
        <v>1042</v>
      </c>
      <c r="D248" s="5"/>
      <c r="E248" s="5"/>
      <c r="F248" s="5" t="n">
        <v>0</v>
      </c>
      <c r="G248" s="5" t="s">
        <v>740</v>
      </c>
      <c r="H248" s="5" t="s">
        <v>71</v>
      </c>
      <c r="I248" s="5"/>
      <c r="J248" s="5"/>
      <c r="K248" s="7" t="s">
        <v>1033</v>
      </c>
    </row>
    <row r="249" customFormat="false" ht="15" hidden="false" customHeight="false" outlineLevel="0" collapsed="false">
      <c r="A249" s="5" t="s">
        <v>565</v>
      </c>
      <c r="B249" s="5"/>
      <c r="C249" s="5" t="s">
        <v>1043</v>
      </c>
      <c r="D249" s="5"/>
      <c r="E249" s="5"/>
      <c r="F249" s="5" t="n">
        <v>0</v>
      </c>
      <c r="G249" s="5" t="s">
        <v>740</v>
      </c>
      <c r="H249" s="5" t="s">
        <v>71</v>
      </c>
      <c r="I249" s="5"/>
      <c r="J249" s="5"/>
      <c r="K249" s="7" t="s">
        <v>1033</v>
      </c>
    </row>
    <row r="250" customFormat="false" ht="15" hidden="false" customHeight="false" outlineLevel="0" collapsed="false">
      <c r="A250" s="5" t="s">
        <v>565</v>
      </c>
      <c r="B250" s="5"/>
      <c r="C250" s="5" t="s">
        <v>1044</v>
      </c>
      <c r="D250" s="5"/>
      <c r="E250" s="5"/>
      <c r="F250" s="5" t="n">
        <v>0</v>
      </c>
      <c r="G250" s="5" t="s">
        <v>740</v>
      </c>
      <c r="H250" s="5" t="s">
        <v>71</v>
      </c>
      <c r="I250" s="5"/>
      <c r="J250" s="5"/>
      <c r="K250" s="7" t="s">
        <v>1033</v>
      </c>
    </row>
    <row r="251" customFormat="false" ht="15" hidden="false" customHeight="false" outlineLevel="0" collapsed="false">
      <c r="A251" s="5" t="s">
        <v>565</v>
      </c>
      <c r="B251" s="5"/>
      <c r="C251" s="5" t="s">
        <v>1045</v>
      </c>
      <c r="D251" s="5" t="s">
        <v>1035</v>
      </c>
      <c r="E251" s="5" t="s">
        <v>1036</v>
      </c>
      <c r="F251" s="5" t="n">
        <v>1</v>
      </c>
      <c r="G251" s="5" t="s">
        <v>740</v>
      </c>
      <c r="H251" s="5" t="s">
        <v>71</v>
      </c>
      <c r="I251" s="5"/>
      <c r="J251" s="5"/>
      <c r="K251" s="5"/>
    </row>
    <row r="252" customFormat="false" ht="15" hidden="false" customHeight="false" outlineLevel="0" collapsed="false">
      <c r="A252" s="5" t="s">
        <v>565</v>
      </c>
      <c r="B252" s="5"/>
      <c r="C252" s="5" t="s">
        <v>1046</v>
      </c>
      <c r="D252" s="5"/>
      <c r="E252" s="5"/>
      <c r="F252" s="5" t="n">
        <v>0</v>
      </c>
      <c r="G252" s="5" t="s">
        <v>740</v>
      </c>
      <c r="H252" s="5" t="s">
        <v>71</v>
      </c>
      <c r="I252" s="5"/>
      <c r="J252" s="5"/>
      <c r="K252" s="7" t="s">
        <v>1033</v>
      </c>
    </row>
    <row r="253" customFormat="false" ht="15" hidden="false" customHeight="false" outlineLevel="0" collapsed="false">
      <c r="A253" s="5" t="s">
        <v>565</v>
      </c>
      <c r="B253" s="5"/>
      <c r="C253" s="5" t="s">
        <v>1047</v>
      </c>
      <c r="D253" s="5"/>
      <c r="E253" s="5"/>
      <c r="F253" s="5" t="n">
        <v>0</v>
      </c>
      <c r="G253" s="5" t="s">
        <v>740</v>
      </c>
      <c r="H253" s="5" t="s">
        <v>71</v>
      </c>
      <c r="I253" s="5"/>
      <c r="J253" s="5"/>
      <c r="K253" s="7" t="s">
        <v>1033</v>
      </c>
    </row>
    <row r="254" customFormat="false" ht="15" hidden="false" customHeight="false" outlineLevel="0" collapsed="false">
      <c r="A254" s="5" t="s">
        <v>565</v>
      </c>
      <c r="B254" s="5"/>
      <c r="C254" s="5" t="s">
        <v>1048</v>
      </c>
      <c r="D254" s="5"/>
      <c r="E254" s="5"/>
      <c r="F254" s="5" t="n">
        <v>0</v>
      </c>
      <c r="G254" s="5" t="s">
        <v>740</v>
      </c>
      <c r="H254" s="5" t="s">
        <v>71</v>
      </c>
      <c r="I254" s="5"/>
      <c r="J254" s="5"/>
      <c r="K254" s="7" t="s">
        <v>1033</v>
      </c>
    </row>
    <row r="255" customFormat="false" ht="15" hidden="false" customHeight="false" outlineLevel="0" collapsed="false">
      <c r="A255" s="5" t="s">
        <v>565</v>
      </c>
      <c r="B255" s="5"/>
      <c r="C255" s="5" t="s">
        <v>1049</v>
      </c>
      <c r="D255" s="5"/>
      <c r="E255" s="5"/>
      <c r="F255" s="5" t="n">
        <v>0</v>
      </c>
      <c r="G255" s="5" t="s">
        <v>740</v>
      </c>
      <c r="H255" s="5" t="s">
        <v>71</v>
      </c>
      <c r="I255" s="5"/>
      <c r="J255" s="5"/>
      <c r="K255" s="7" t="s">
        <v>1033</v>
      </c>
    </row>
    <row r="256" customFormat="false" ht="23.85" hidden="false" customHeight="false" outlineLevel="0" collapsed="false">
      <c r="A256" s="5" t="s">
        <v>565</v>
      </c>
      <c r="B256" s="5"/>
      <c r="C256" s="5" t="s">
        <v>1050</v>
      </c>
      <c r="D256" s="5" t="s">
        <v>1051</v>
      </c>
      <c r="E256" s="5" t="s">
        <v>1052</v>
      </c>
      <c r="F256" s="5" t="n">
        <v>1</v>
      </c>
      <c r="G256" s="5" t="s">
        <v>740</v>
      </c>
      <c r="H256" s="5" t="s">
        <v>71</v>
      </c>
      <c r="I256" s="5"/>
      <c r="J256" s="5"/>
      <c r="K256" s="5"/>
    </row>
    <row r="257" customFormat="false" ht="15" hidden="false" customHeight="false" outlineLevel="0" collapsed="false">
      <c r="A257" s="5" t="s">
        <v>565</v>
      </c>
      <c r="B257" s="5"/>
      <c r="C257" s="5" t="s">
        <v>1053</v>
      </c>
      <c r="D257" s="5"/>
      <c r="E257" s="5"/>
      <c r="F257" s="5" t="n">
        <v>0</v>
      </c>
      <c r="G257" s="5" t="s">
        <v>740</v>
      </c>
      <c r="H257" s="5" t="s">
        <v>71</v>
      </c>
      <c r="I257" s="5"/>
      <c r="J257" s="5"/>
      <c r="K257" s="7" t="s">
        <v>1033</v>
      </c>
    </row>
    <row r="258" customFormat="false" ht="15" hidden="false" customHeight="false" outlineLevel="0" collapsed="false">
      <c r="A258" s="5" t="s">
        <v>565</v>
      </c>
      <c r="B258" s="5"/>
      <c r="C258" s="5" t="s">
        <v>1054</v>
      </c>
      <c r="D258" s="5"/>
      <c r="E258" s="5"/>
      <c r="F258" s="5" t="n">
        <v>0</v>
      </c>
      <c r="G258" s="5" t="s">
        <v>740</v>
      </c>
      <c r="H258" s="5" t="s">
        <v>71</v>
      </c>
      <c r="I258" s="5"/>
      <c r="J258" s="5"/>
      <c r="K258" s="7" t="s">
        <v>1033</v>
      </c>
    </row>
    <row r="259" customFormat="false" ht="15" hidden="false" customHeight="false" outlineLevel="0" collapsed="false">
      <c r="A259" s="5" t="s">
        <v>565</v>
      </c>
      <c r="B259" s="5"/>
      <c r="C259" s="5" t="s">
        <v>1055</v>
      </c>
      <c r="D259" s="5"/>
      <c r="E259" s="5"/>
      <c r="F259" s="5" t="n">
        <v>0</v>
      </c>
      <c r="G259" s="5" t="s">
        <v>740</v>
      </c>
      <c r="H259" s="5" t="s">
        <v>71</v>
      </c>
      <c r="I259" s="5"/>
      <c r="J259" s="5"/>
      <c r="K259" s="7" t="s">
        <v>1033</v>
      </c>
    </row>
    <row r="260" customFormat="false" ht="15" hidden="false" customHeight="false" outlineLevel="0" collapsed="false">
      <c r="A260" s="5" t="s">
        <v>565</v>
      </c>
      <c r="B260" s="5"/>
      <c r="C260" s="5" t="s">
        <v>1056</v>
      </c>
      <c r="D260" s="5"/>
      <c r="E260" s="5"/>
      <c r="F260" s="5" t="n">
        <v>0</v>
      </c>
      <c r="G260" s="5" t="s">
        <v>740</v>
      </c>
      <c r="H260" s="5" t="s">
        <v>71</v>
      </c>
      <c r="I260" s="5"/>
      <c r="J260" s="5"/>
      <c r="K260" s="7" t="s">
        <v>1033</v>
      </c>
    </row>
    <row r="261" customFormat="false" ht="15" hidden="false" customHeight="false" outlineLevel="0" collapsed="false">
      <c r="A261" s="5" t="s">
        <v>565</v>
      </c>
      <c r="B261" s="5"/>
      <c r="C261" s="5" t="s">
        <v>1057</v>
      </c>
      <c r="D261" s="5"/>
      <c r="E261" s="5"/>
      <c r="F261" s="5" t="n">
        <v>0</v>
      </c>
      <c r="G261" s="5" t="s">
        <v>740</v>
      </c>
      <c r="H261" s="5" t="s">
        <v>71</v>
      </c>
      <c r="I261" s="5"/>
      <c r="J261" s="5"/>
      <c r="K261" s="7" t="s">
        <v>1033</v>
      </c>
    </row>
    <row r="262" customFormat="false" ht="15" hidden="false" customHeight="false" outlineLevel="0" collapsed="false">
      <c r="A262" s="5" t="s">
        <v>565</v>
      </c>
      <c r="B262" s="5"/>
      <c r="C262" s="5" t="s">
        <v>1058</v>
      </c>
      <c r="D262" s="5" t="s">
        <v>1059</v>
      </c>
      <c r="E262" s="5" t="s">
        <v>1060</v>
      </c>
      <c r="F262" s="5" t="n">
        <v>1</v>
      </c>
      <c r="G262" s="5" t="s">
        <v>740</v>
      </c>
      <c r="H262" s="5" t="s">
        <v>71</v>
      </c>
      <c r="I262" s="5"/>
      <c r="J262" s="5"/>
      <c r="K262" s="5"/>
    </row>
    <row r="263" customFormat="false" ht="15" hidden="false" customHeight="false" outlineLevel="0" collapsed="false">
      <c r="A263" s="5" t="s">
        <v>565</v>
      </c>
      <c r="B263" s="5"/>
      <c r="C263" s="5" t="s">
        <v>1061</v>
      </c>
      <c r="D263" s="5"/>
      <c r="E263" s="5"/>
      <c r="F263" s="5" t="n">
        <v>0</v>
      </c>
      <c r="G263" s="5" t="s">
        <v>740</v>
      </c>
      <c r="H263" s="5" t="s">
        <v>71</v>
      </c>
      <c r="I263" s="5"/>
      <c r="J263" s="5"/>
      <c r="K263" s="7" t="s">
        <v>1033</v>
      </c>
    </row>
    <row r="264" customFormat="false" ht="15" hidden="false" customHeight="false" outlineLevel="0" collapsed="false">
      <c r="A264" s="5" t="s">
        <v>565</v>
      </c>
      <c r="B264" s="5"/>
      <c r="C264" s="5" t="s">
        <v>1062</v>
      </c>
      <c r="D264" s="5"/>
      <c r="E264" s="5"/>
      <c r="F264" s="5" t="n">
        <v>0</v>
      </c>
      <c r="G264" s="5" t="s">
        <v>740</v>
      </c>
      <c r="H264" s="5" t="s">
        <v>71</v>
      </c>
      <c r="I264" s="5"/>
      <c r="J264" s="5"/>
      <c r="K264" s="7" t="s">
        <v>1033</v>
      </c>
    </row>
    <row r="265" customFormat="false" ht="23.85" hidden="false" customHeight="false" outlineLevel="0" collapsed="false">
      <c r="A265" s="5" t="s">
        <v>565</v>
      </c>
      <c r="B265" s="5"/>
      <c r="C265" s="5" t="s">
        <v>1063</v>
      </c>
      <c r="D265" s="5" t="s">
        <v>1064</v>
      </c>
      <c r="E265" s="5" t="s">
        <v>1065</v>
      </c>
      <c r="F265" s="5" t="n">
        <v>2</v>
      </c>
      <c r="G265" s="5" t="s">
        <v>740</v>
      </c>
      <c r="H265" s="5" t="s">
        <v>71</v>
      </c>
      <c r="I265" s="5"/>
      <c r="J265" s="5"/>
      <c r="K265" s="5"/>
    </row>
    <row r="266" customFormat="false" ht="15" hidden="false" customHeight="false" outlineLevel="0" collapsed="false">
      <c r="A266" s="5" t="s">
        <v>565</v>
      </c>
      <c r="B266" s="5"/>
      <c r="C266" s="5" t="s">
        <v>1066</v>
      </c>
      <c r="D266" s="5" t="s">
        <v>1067</v>
      </c>
      <c r="E266" s="5" t="s">
        <v>1068</v>
      </c>
      <c r="F266" s="5" t="n">
        <v>2</v>
      </c>
      <c r="G266" s="5" t="s">
        <v>740</v>
      </c>
      <c r="H266" s="5" t="s">
        <v>71</v>
      </c>
      <c r="I266" s="5"/>
      <c r="J266" s="5"/>
      <c r="K266" s="5"/>
    </row>
    <row r="267" customFormat="false" ht="15" hidden="false" customHeight="false" outlineLevel="0" collapsed="false">
      <c r="A267" s="5" t="s">
        <v>565</v>
      </c>
      <c r="B267" s="5"/>
      <c r="C267" s="5" t="s">
        <v>1069</v>
      </c>
      <c r="D267" s="5"/>
      <c r="E267" s="5"/>
      <c r="F267" s="5" t="n">
        <v>0</v>
      </c>
      <c r="G267" s="5" t="s">
        <v>740</v>
      </c>
      <c r="H267" s="5" t="s">
        <v>71</v>
      </c>
      <c r="I267" s="5"/>
      <c r="J267" s="5"/>
      <c r="K267" s="7" t="s">
        <v>1033</v>
      </c>
    </row>
    <row r="268" customFormat="false" ht="15" hidden="false" customHeight="false" outlineLevel="0" collapsed="false">
      <c r="A268" s="5" t="s">
        <v>565</v>
      </c>
      <c r="B268" s="5"/>
      <c r="C268" s="5" t="s">
        <v>1070</v>
      </c>
      <c r="D268" s="5"/>
      <c r="E268" s="5"/>
      <c r="F268" s="5" t="n">
        <v>0</v>
      </c>
      <c r="G268" s="5" t="s">
        <v>740</v>
      </c>
      <c r="H268" s="5" t="s">
        <v>71</v>
      </c>
      <c r="I268" s="5"/>
      <c r="J268" s="5"/>
      <c r="K268" s="7" t="s">
        <v>1033</v>
      </c>
    </row>
    <row r="269" customFormat="false" ht="15" hidden="false" customHeight="false" outlineLevel="0" collapsed="false">
      <c r="A269" s="5" t="s">
        <v>565</v>
      </c>
      <c r="B269" s="5"/>
      <c r="C269" s="5" t="s">
        <v>1071</v>
      </c>
      <c r="D269" s="5"/>
      <c r="E269" s="5"/>
      <c r="F269" s="5" t="n">
        <v>0</v>
      </c>
      <c r="G269" s="5" t="s">
        <v>740</v>
      </c>
      <c r="H269" s="5" t="s">
        <v>71</v>
      </c>
      <c r="I269" s="5"/>
      <c r="J269" s="5"/>
      <c r="K269" s="7" t="s">
        <v>1033</v>
      </c>
    </row>
    <row r="270" customFormat="false" ht="15" hidden="false" customHeight="false" outlineLevel="0" collapsed="false">
      <c r="A270" s="5" t="s">
        <v>565</v>
      </c>
      <c r="B270" s="5"/>
      <c r="C270" s="5" t="s">
        <v>1072</v>
      </c>
      <c r="D270" s="5"/>
      <c r="E270" s="5"/>
      <c r="F270" s="5" t="n">
        <v>0</v>
      </c>
      <c r="G270" s="5" t="s">
        <v>740</v>
      </c>
      <c r="H270" s="5" t="s">
        <v>71</v>
      </c>
      <c r="I270" s="5"/>
      <c r="J270" s="5"/>
      <c r="K270" s="7" t="s">
        <v>1033</v>
      </c>
    </row>
    <row r="271" customFormat="false" ht="15" hidden="false" customHeight="false" outlineLevel="0" collapsed="false">
      <c r="A271" s="5" t="s">
        <v>565</v>
      </c>
      <c r="B271" s="5"/>
      <c r="C271" s="5" t="s">
        <v>1073</v>
      </c>
      <c r="D271" s="5"/>
      <c r="E271" s="5"/>
      <c r="F271" s="5" t="n">
        <v>0</v>
      </c>
      <c r="G271" s="5" t="s">
        <v>740</v>
      </c>
      <c r="H271" s="5" t="s">
        <v>71</v>
      </c>
      <c r="I271" s="5"/>
      <c r="J271" s="5"/>
      <c r="K271" s="7" t="s">
        <v>1033</v>
      </c>
    </row>
    <row r="272" customFormat="false" ht="15" hidden="false" customHeight="false" outlineLevel="0" collapsed="false">
      <c r="A272" s="5" t="s">
        <v>565</v>
      </c>
      <c r="B272" s="5"/>
      <c r="C272" s="5" t="s">
        <v>1074</v>
      </c>
      <c r="D272" s="5"/>
      <c r="E272" s="5"/>
      <c r="F272" s="5" t="n">
        <v>0</v>
      </c>
      <c r="G272" s="5" t="s">
        <v>740</v>
      </c>
      <c r="H272" s="5" t="s">
        <v>71</v>
      </c>
      <c r="I272" s="5"/>
      <c r="J272" s="5"/>
      <c r="K272" s="7" t="s">
        <v>1033</v>
      </c>
    </row>
    <row r="273" customFormat="false" ht="15" hidden="false" customHeight="false" outlineLevel="0" collapsed="false">
      <c r="A273" s="5" t="s">
        <v>565</v>
      </c>
      <c r="B273" s="5"/>
      <c r="C273" s="5" t="s">
        <v>1075</v>
      </c>
      <c r="D273" s="5"/>
      <c r="E273" s="5"/>
      <c r="F273" s="5" t="n">
        <v>0</v>
      </c>
      <c r="G273" s="5" t="s">
        <v>740</v>
      </c>
      <c r="H273" s="5" t="s">
        <v>71</v>
      </c>
      <c r="I273" s="5"/>
      <c r="J273" s="5"/>
      <c r="K273" s="7" t="s">
        <v>1033</v>
      </c>
    </row>
    <row r="274" customFormat="false" ht="15" hidden="false" customHeight="false" outlineLevel="0" collapsed="false">
      <c r="A274" s="5" t="s">
        <v>565</v>
      </c>
      <c r="B274" s="5"/>
      <c r="C274" s="5" t="s">
        <v>1076</v>
      </c>
      <c r="D274" s="5"/>
      <c r="E274" s="5"/>
      <c r="F274" s="5" t="n">
        <v>0</v>
      </c>
      <c r="G274" s="5" t="s">
        <v>740</v>
      </c>
      <c r="H274" s="5" t="s">
        <v>71</v>
      </c>
      <c r="I274" s="5"/>
      <c r="J274" s="5"/>
      <c r="K274" s="7" t="s">
        <v>1033</v>
      </c>
    </row>
    <row r="275" customFormat="false" ht="15" hidden="false" customHeight="false" outlineLevel="0" collapsed="false">
      <c r="A275" s="5" t="s">
        <v>565</v>
      </c>
      <c r="B275" s="5"/>
      <c r="C275" s="5" t="s">
        <v>1077</v>
      </c>
      <c r="D275" s="5"/>
      <c r="E275" s="5"/>
      <c r="F275" s="5" t="n">
        <v>0</v>
      </c>
      <c r="G275" s="5" t="s">
        <v>740</v>
      </c>
      <c r="H275" s="5" t="s">
        <v>71</v>
      </c>
      <c r="I275" s="5"/>
      <c r="J275" s="5"/>
      <c r="K275" s="7" t="s">
        <v>1033</v>
      </c>
    </row>
    <row r="276" customFormat="false" ht="15" hidden="false" customHeight="false" outlineLevel="0" collapsed="false">
      <c r="A276" s="5" t="s">
        <v>565</v>
      </c>
      <c r="B276" s="5"/>
      <c r="C276" s="5" t="s">
        <v>1078</v>
      </c>
      <c r="D276" s="5"/>
      <c r="E276" s="5"/>
      <c r="F276" s="5" t="n">
        <v>0</v>
      </c>
      <c r="G276" s="5" t="s">
        <v>740</v>
      </c>
      <c r="H276" s="5" t="s">
        <v>71</v>
      </c>
      <c r="I276" s="5"/>
      <c r="J276" s="5"/>
      <c r="K276" s="7" t="s">
        <v>1033</v>
      </c>
    </row>
    <row r="277" customFormat="false" ht="15" hidden="false" customHeight="false" outlineLevel="0" collapsed="false">
      <c r="A277" s="5" t="s">
        <v>565</v>
      </c>
      <c r="B277" s="5"/>
      <c r="C277" s="5" t="s">
        <v>1079</v>
      </c>
      <c r="D277" s="5"/>
      <c r="E277" s="5"/>
      <c r="F277" s="5" t="n">
        <v>0</v>
      </c>
      <c r="G277" s="5" t="s">
        <v>740</v>
      </c>
      <c r="H277" s="5" t="s">
        <v>71</v>
      </c>
      <c r="I277" s="5"/>
      <c r="J277" s="5"/>
      <c r="K277" s="7" t="s">
        <v>1033</v>
      </c>
    </row>
    <row r="278" customFormat="false" ht="15" hidden="false" customHeight="false" outlineLevel="0" collapsed="false">
      <c r="A278" s="5" t="s">
        <v>565</v>
      </c>
      <c r="B278" s="5"/>
      <c r="C278" s="5" t="s">
        <v>1080</v>
      </c>
      <c r="D278" s="5"/>
      <c r="E278" s="5"/>
      <c r="F278" s="5" t="n">
        <v>0</v>
      </c>
      <c r="G278" s="5" t="s">
        <v>740</v>
      </c>
      <c r="H278" s="5" t="s">
        <v>71</v>
      </c>
      <c r="I278" s="5"/>
      <c r="J278" s="5"/>
      <c r="K278" s="7" t="s">
        <v>1033</v>
      </c>
    </row>
    <row r="279" customFormat="false" ht="15" hidden="false" customHeight="false" outlineLevel="0" collapsed="false">
      <c r="A279" s="5" t="s">
        <v>565</v>
      </c>
      <c r="B279" s="5"/>
      <c r="C279" s="5" t="s">
        <v>1081</v>
      </c>
      <c r="D279" s="5"/>
      <c r="E279" s="5"/>
      <c r="F279" s="5" t="n">
        <v>0</v>
      </c>
      <c r="G279" s="5" t="s">
        <v>740</v>
      </c>
      <c r="H279" s="5" t="s">
        <v>71</v>
      </c>
      <c r="I279" s="5"/>
      <c r="J279" s="5"/>
      <c r="K279" s="7" t="s">
        <v>1033</v>
      </c>
    </row>
    <row r="280" customFormat="false" ht="15" hidden="false" customHeight="false" outlineLevel="0" collapsed="false">
      <c r="A280" s="5" t="s">
        <v>565</v>
      </c>
      <c r="B280" s="5"/>
      <c r="C280" s="5" t="s">
        <v>1082</v>
      </c>
      <c r="D280" s="5"/>
      <c r="E280" s="5"/>
      <c r="F280" s="5" t="n">
        <v>0</v>
      </c>
      <c r="G280" s="5" t="s">
        <v>740</v>
      </c>
      <c r="H280" s="5" t="s">
        <v>71</v>
      </c>
      <c r="I280" s="5"/>
      <c r="J280" s="5"/>
      <c r="K280" s="7" t="s">
        <v>1033</v>
      </c>
    </row>
    <row r="281" customFormat="false" ht="15" hidden="false" customHeight="false" outlineLevel="0" collapsed="false">
      <c r="A281" s="5" t="s">
        <v>565</v>
      </c>
      <c r="B281" s="5"/>
      <c r="C281" s="5" t="s">
        <v>1083</v>
      </c>
      <c r="D281" s="5"/>
      <c r="E281" s="5"/>
      <c r="F281" s="5" t="n">
        <v>0</v>
      </c>
      <c r="G281" s="5" t="s">
        <v>740</v>
      </c>
      <c r="H281" s="5" t="s">
        <v>71</v>
      </c>
      <c r="I281" s="5"/>
      <c r="J281" s="5"/>
      <c r="K281" s="7" t="s">
        <v>1033</v>
      </c>
    </row>
    <row r="282" customFormat="false" ht="15" hidden="false" customHeight="false" outlineLevel="0" collapsed="false">
      <c r="A282" s="5" t="s">
        <v>565</v>
      </c>
      <c r="B282" s="5"/>
      <c r="C282" s="5" t="s">
        <v>1084</v>
      </c>
      <c r="D282" s="5" t="s">
        <v>1085</v>
      </c>
      <c r="E282" s="5" t="s">
        <v>1086</v>
      </c>
      <c r="F282" s="5" t="n">
        <v>1</v>
      </c>
      <c r="G282" s="5" t="s">
        <v>740</v>
      </c>
      <c r="H282" s="5" t="s">
        <v>71</v>
      </c>
      <c r="I282" s="5"/>
      <c r="J282" s="5"/>
      <c r="K282" s="5"/>
    </row>
    <row r="283" customFormat="false" ht="15" hidden="false" customHeight="false" outlineLevel="0" collapsed="false">
      <c r="A283" s="5" t="s">
        <v>565</v>
      </c>
      <c r="B283" s="5"/>
      <c r="C283" s="5" t="s">
        <v>1087</v>
      </c>
      <c r="D283" s="5"/>
      <c r="E283" s="5"/>
      <c r="F283" s="5" t="n">
        <v>0</v>
      </c>
      <c r="G283" s="5" t="s">
        <v>740</v>
      </c>
      <c r="H283" s="5" t="s">
        <v>71</v>
      </c>
      <c r="I283" s="5"/>
      <c r="J283" s="5"/>
      <c r="K283" s="7" t="s">
        <v>1033</v>
      </c>
    </row>
    <row r="284" customFormat="false" ht="15" hidden="false" customHeight="false" outlineLevel="0" collapsed="false">
      <c r="A284" s="5" t="s">
        <v>565</v>
      </c>
      <c r="B284" s="5"/>
      <c r="C284" s="5" t="s">
        <v>1088</v>
      </c>
      <c r="D284" s="5"/>
      <c r="E284" s="5"/>
      <c r="F284" s="5" t="n">
        <v>0</v>
      </c>
      <c r="G284" s="5" t="s">
        <v>740</v>
      </c>
      <c r="H284" s="5" t="s">
        <v>71</v>
      </c>
      <c r="I284" s="5"/>
      <c r="J284" s="5"/>
      <c r="K284" s="7" t="s">
        <v>1033</v>
      </c>
    </row>
    <row r="285" customFormat="false" ht="15" hidden="false" customHeight="false" outlineLevel="0" collapsed="false">
      <c r="A285" s="5" t="s">
        <v>565</v>
      </c>
      <c r="B285" s="5"/>
      <c r="C285" s="5" t="s">
        <v>1089</v>
      </c>
      <c r="D285" s="5"/>
      <c r="E285" s="5"/>
      <c r="F285" s="5" t="n">
        <v>0</v>
      </c>
      <c r="G285" s="5" t="s">
        <v>740</v>
      </c>
      <c r="H285" s="5" t="s">
        <v>71</v>
      </c>
      <c r="I285" s="5"/>
      <c r="J285" s="5"/>
      <c r="K285" s="7" t="s">
        <v>1033</v>
      </c>
    </row>
    <row r="286" customFormat="false" ht="15" hidden="false" customHeight="false" outlineLevel="0" collapsed="false">
      <c r="A286" s="5" t="s">
        <v>565</v>
      </c>
      <c r="B286" s="5"/>
      <c r="C286" s="5" t="s">
        <v>1090</v>
      </c>
      <c r="D286" s="5"/>
      <c r="E286" s="5"/>
      <c r="F286" s="5" t="n">
        <v>0</v>
      </c>
      <c r="G286" s="5" t="s">
        <v>740</v>
      </c>
      <c r="H286" s="5" t="s">
        <v>71</v>
      </c>
      <c r="I286" s="5"/>
      <c r="J286" s="5"/>
      <c r="K286" s="7" t="s">
        <v>1033</v>
      </c>
    </row>
    <row r="287" customFormat="false" ht="15" hidden="false" customHeight="false" outlineLevel="0" collapsed="false">
      <c r="A287" s="5" t="s">
        <v>565</v>
      </c>
      <c r="B287" s="5"/>
      <c r="C287" s="5" t="s">
        <v>1091</v>
      </c>
      <c r="D287" s="5"/>
      <c r="E287" s="5"/>
      <c r="F287" s="5" t="n">
        <v>0</v>
      </c>
      <c r="G287" s="5" t="s">
        <v>740</v>
      </c>
      <c r="H287" s="5" t="s">
        <v>71</v>
      </c>
      <c r="I287" s="5"/>
      <c r="J287" s="5"/>
      <c r="K287" s="7" t="s">
        <v>1033</v>
      </c>
    </row>
    <row r="288" customFormat="false" ht="15" hidden="false" customHeight="false" outlineLevel="0" collapsed="false">
      <c r="A288" s="5" t="s">
        <v>565</v>
      </c>
      <c r="B288" s="5"/>
      <c r="C288" s="5" t="s">
        <v>1092</v>
      </c>
      <c r="D288" s="5"/>
      <c r="E288" s="5"/>
      <c r="F288" s="5" t="n">
        <v>0</v>
      </c>
      <c r="G288" s="5" t="s">
        <v>740</v>
      </c>
      <c r="H288" s="5" t="s">
        <v>71</v>
      </c>
      <c r="I288" s="5"/>
      <c r="J288" s="5"/>
      <c r="K288" s="7" t="s">
        <v>1033</v>
      </c>
    </row>
    <row r="289" customFormat="false" ht="15" hidden="false" customHeight="false" outlineLevel="0" collapsed="false">
      <c r="A289" s="5" t="s">
        <v>565</v>
      </c>
      <c r="B289" s="5"/>
      <c r="C289" s="5" t="s">
        <v>1093</v>
      </c>
      <c r="D289" s="5"/>
      <c r="E289" s="5"/>
      <c r="F289" s="5" t="n">
        <v>0</v>
      </c>
      <c r="G289" s="5" t="s">
        <v>740</v>
      </c>
      <c r="H289" s="5" t="s">
        <v>71</v>
      </c>
      <c r="I289" s="5"/>
      <c r="J289" s="5"/>
      <c r="K289" s="7" t="s">
        <v>1033</v>
      </c>
    </row>
    <row r="290" customFormat="false" ht="15" hidden="false" customHeight="false" outlineLevel="0" collapsed="false">
      <c r="A290" s="5" t="s">
        <v>565</v>
      </c>
      <c r="B290" s="5"/>
      <c r="C290" s="5" t="s">
        <v>1094</v>
      </c>
      <c r="D290" s="5"/>
      <c r="E290" s="5"/>
      <c r="F290" s="5" t="n">
        <v>0</v>
      </c>
      <c r="G290" s="5" t="s">
        <v>740</v>
      </c>
      <c r="H290" s="5" t="s">
        <v>71</v>
      </c>
      <c r="I290" s="5"/>
      <c r="J290" s="5"/>
      <c r="K290" s="7" t="s">
        <v>1033</v>
      </c>
    </row>
    <row r="291" customFormat="false" ht="15" hidden="false" customHeight="false" outlineLevel="0" collapsed="false">
      <c r="A291" s="5" t="s">
        <v>565</v>
      </c>
      <c r="B291" s="5"/>
      <c r="C291" s="5" t="s">
        <v>1095</v>
      </c>
      <c r="D291" s="5"/>
      <c r="E291" s="5"/>
      <c r="F291" s="5" t="n">
        <v>0</v>
      </c>
      <c r="G291" s="5" t="s">
        <v>740</v>
      </c>
      <c r="H291" s="5" t="s">
        <v>71</v>
      </c>
      <c r="I291" s="5"/>
      <c r="J291" s="5"/>
      <c r="K291" s="7" t="s">
        <v>1033</v>
      </c>
    </row>
    <row r="292" customFormat="false" ht="15" hidden="false" customHeight="false" outlineLevel="0" collapsed="false">
      <c r="A292" s="5" t="s">
        <v>565</v>
      </c>
      <c r="B292" s="5"/>
      <c r="C292" s="5" t="s">
        <v>1096</v>
      </c>
      <c r="D292" s="5"/>
      <c r="E292" s="5"/>
      <c r="F292" s="5" t="n">
        <v>0</v>
      </c>
      <c r="G292" s="5" t="s">
        <v>740</v>
      </c>
      <c r="H292" s="5" t="s">
        <v>71</v>
      </c>
      <c r="I292" s="5"/>
      <c r="J292" s="5"/>
      <c r="K292" s="7" t="s">
        <v>1033</v>
      </c>
    </row>
    <row r="293" customFormat="false" ht="15" hidden="false" customHeight="false" outlineLevel="0" collapsed="false">
      <c r="A293" s="5" t="s">
        <v>565</v>
      </c>
      <c r="B293" s="5"/>
      <c r="C293" s="5" t="s">
        <v>1097</v>
      </c>
      <c r="D293" s="5"/>
      <c r="E293" s="5"/>
      <c r="F293" s="5" t="n">
        <v>0</v>
      </c>
      <c r="G293" s="5" t="s">
        <v>740</v>
      </c>
      <c r="H293" s="5" t="s">
        <v>71</v>
      </c>
      <c r="I293" s="5"/>
      <c r="J293" s="5"/>
      <c r="K293" s="7" t="s">
        <v>1033</v>
      </c>
    </row>
    <row r="294" customFormat="false" ht="15" hidden="false" customHeight="false" outlineLevel="0" collapsed="false">
      <c r="A294" s="5" t="s">
        <v>565</v>
      </c>
      <c r="B294" s="5"/>
      <c r="C294" s="5" t="s">
        <v>1098</v>
      </c>
      <c r="D294" s="5"/>
      <c r="E294" s="5"/>
      <c r="F294" s="5" t="n">
        <v>0</v>
      </c>
      <c r="G294" s="5" t="s">
        <v>740</v>
      </c>
      <c r="H294" s="5" t="s">
        <v>71</v>
      </c>
      <c r="I294" s="5"/>
      <c r="J294" s="5"/>
      <c r="K294" s="7" t="s">
        <v>1033</v>
      </c>
    </row>
    <row r="295" customFormat="false" ht="15" hidden="false" customHeight="false" outlineLevel="0" collapsed="false">
      <c r="A295" s="5" t="s">
        <v>565</v>
      </c>
      <c r="B295" s="5"/>
      <c r="C295" s="5" t="s">
        <v>1099</v>
      </c>
      <c r="D295" s="5"/>
      <c r="E295" s="5"/>
      <c r="F295" s="5" t="n">
        <v>0</v>
      </c>
      <c r="G295" s="5" t="s">
        <v>740</v>
      </c>
      <c r="H295" s="5" t="s">
        <v>71</v>
      </c>
      <c r="I295" s="5"/>
      <c r="J295" s="5"/>
      <c r="K295" s="7" t="s">
        <v>1033</v>
      </c>
    </row>
    <row r="296" customFormat="false" ht="15" hidden="false" customHeight="false" outlineLevel="0" collapsed="false">
      <c r="A296" s="5" t="s">
        <v>565</v>
      </c>
      <c r="B296" s="5"/>
      <c r="C296" s="5" t="s">
        <v>1100</v>
      </c>
      <c r="D296" s="5"/>
      <c r="E296" s="5"/>
      <c r="F296" s="5" t="n">
        <v>0</v>
      </c>
      <c r="G296" s="5" t="s">
        <v>740</v>
      </c>
      <c r="H296" s="5" t="s">
        <v>71</v>
      </c>
      <c r="I296" s="5"/>
      <c r="J296" s="5"/>
      <c r="K296" s="7" t="s">
        <v>1033</v>
      </c>
    </row>
    <row r="297" customFormat="false" ht="15" hidden="false" customHeight="false" outlineLevel="0" collapsed="false">
      <c r="A297" s="5" t="s">
        <v>565</v>
      </c>
      <c r="B297" s="5"/>
      <c r="C297" s="5" t="s">
        <v>1101</v>
      </c>
      <c r="D297" s="5"/>
      <c r="E297" s="5"/>
      <c r="F297" s="5" t="n">
        <v>0</v>
      </c>
      <c r="G297" s="5" t="s">
        <v>740</v>
      </c>
      <c r="H297" s="5" t="s">
        <v>71</v>
      </c>
      <c r="I297" s="5"/>
      <c r="J297" s="5"/>
      <c r="K297" s="7" t="s">
        <v>1033</v>
      </c>
    </row>
    <row r="298" customFormat="false" ht="15" hidden="false" customHeight="false" outlineLevel="0" collapsed="false">
      <c r="A298" s="5" t="s">
        <v>565</v>
      </c>
      <c r="B298" s="5"/>
      <c r="C298" s="5" t="s">
        <v>1102</v>
      </c>
      <c r="D298" s="5"/>
      <c r="E298" s="5"/>
      <c r="F298" s="5" t="n">
        <v>0</v>
      </c>
      <c r="G298" s="5" t="s">
        <v>740</v>
      </c>
      <c r="H298" s="5" t="s">
        <v>71</v>
      </c>
      <c r="I298" s="5"/>
      <c r="J298" s="5"/>
      <c r="K298" s="7" t="s">
        <v>1033</v>
      </c>
    </row>
    <row r="299" customFormat="false" ht="15" hidden="false" customHeight="false" outlineLevel="0" collapsed="false">
      <c r="A299" s="5" t="s">
        <v>565</v>
      </c>
      <c r="B299" s="5"/>
      <c r="C299" s="5" t="s">
        <v>1103</v>
      </c>
      <c r="D299" s="5"/>
      <c r="E299" s="5"/>
      <c r="F299" s="5" t="n">
        <v>0</v>
      </c>
      <c r="G299" s="5" t="s">
        <v>740</v>
      </c>
      <c r="H299" s="5" t="s">
        <v>71</v>
      </c>
      <c r="I299" s="5"/>
      <c r="J299" s="5"/>
      <c r="K299" s="7" t="s">
        <v>1033</v>
      </c>
    </row>
    <row r="300" customFormat="false" ht="15" hidden="false" customHeight="false" outlineLevel="0" collapsed="false">
      <c r="A300" s="5" t="s">
        <v>565</v>
      </c>
      <c r="B300" s="5"/>
      <c r="C300" s="5" t="s">
        <v>1104</v>
      </c>
      <c r="D300" s="5" t="s">
        <v>1105</v>
      </c>
      <c r="E300" s="5" t="s">
        <v>1106</v>
      </c>
      <c r="F300" s="5" t="n">
        <v>1</v>
      </c>
      <c r="G300" s="5" t="s">
        <v>740</v>
      </c>
      <c r="H300" s="5" t="s">
        <v>71</v>
      </c>
      <c r="I300" s="5"/>
      <c r="J300" s="5"/>
      <c r="K300" s="5"/>
    </row>
    <row r="301" customFormat="false" ht="15" hidden="false" customHeight="false" outlineLevel="0" collapsed="false">
      <c r="A301" s="5" t="s">
        <v>565</v>
      </c>
      <c r="B301" s="5"/>
      <c r="C301" s="5" t="s">
        <v>1107</v>
      </c>
      <c r="D301" s="5"/>
      <c r="E301" s="5"/>
      <c r="F301" s="5" t="n">
        <v>0</v>
      </c>
      <c r="G301" s="5" t="s">
        <v>740</v>
      </c>
      <c r="H301" s="5" t="s">
        <v>71</v>
      </c>
      <c r="I301" s="5"/>
      <c r="J301" s="5"/>
      <c r="K301" s="7" t="s">
        <v>1033</v>
      </c>
    </row>
    <row r="302" customFormat="false" ht="15" hidden="false" customHeight="false" outlineLevel="0" collapsed="false">
      <c r="A302" s="5" t="s">
        <v>565</v>
      </c>
      <c r="B302" s="5"/>
      <c r="C302" s="5" t="s">
        <v>1108</v>
      </c>
      <c r="D302" s="5" t="s">
        <v>1109</v>
      </c>
      <c r="E302" s="5" t="s">
        <v>1110</v>
      </c>
      <c r="F302" s="5" t="n">
        <v>1</v>
      </c>
      <c r="G302" s="5" t="s">
        <v>740</v>
      </c>
      <c r="H302" s="5" t="s">
        <v>71</v>
      </c>
      <c r="I302" s="5"/>
      <c r="J302" s="5"/>
      <c r="K302" s="5"/>
    </row>
    <row r="303" customFormat="false" ht="15" hidden="false" customHeight="false" outlineLevel="0" collapsed="false">
      <c r="A303" s="5" t="s">
        <v>565</v>
      </c>
      <c r="B303" s="5"/>
      <c r="C303" s="5" t="s">
        <v>1111</v>
      </c>
      <c r="D303" s="5" t="s">
        <v>1112</v>
      </c>
      <c r="E303" s="5" t="s">
        <v>1113</v>
      </c>
      <c r="F303" s="5" t="n">
        <v>1</v>
      </c>
      <c r="G303" s="5" t="s">
        <v>740</v>
      </c>
      <c r="H303" s="5" t="s">
        <v>71</v>
      </c>
      <c r="I303" s="5"/>
      <c r="J303" s="5"/>
      <c r="K303" s="5"/>
    </row>
    <row r="304" customFormat="false" ht="15" hidden="false" customHeight="false" outlineLevel="0" collapsed="false">
      <c r="A304" s="5" t="s">
        <v>565</v>
      </c>
      <c r="B304" s="5"/>
      <c r="C304" s="5" t="s">
        <v>1114</v>
      </c>
      <c r="D304" s="5" t="s">
        <v>1115</v>
      </c>
      <c r="E304" s="5" t="s">
        <v>1116</v>
      </c>
      <c r="F304" s="5" t="n">
        <v>1</v>
      </c>
      <c r="G304" s="5" t="s">
        <v>740</v>
      </c>
      <c r="H304" s="5" t="s">
        <v>71</v>
      </c>
      <c r="I304" s="5"/>
      <c r="J304" s="5"/>
      <c r="K304" s="5"/>
    </row>
    <row r="305" customFormat="false" ht="15" hidden="false" customHeight="false" outlineLevel="0" collapsed="false">
      <c r="A305" s="5" t="s">
        <v>565</v>
      </c>
      <c r="B305" s="5"/>
      <c r="C305" s="5" t="s">
        <v>1117</v>
      </c>
      <c r="D305" s="5" t="s">
        <v>1118</v>
      </c>
      <c r="E305" s="5" t="s">
        <v>1119</v>
      </c>
      <c r="F305" s="5" t="n">
        <v>1</v>
      </c>
      <c r="G305" s="5" t="s">
        <v>740</v>
      </c>
      <c r="H305" s="5" t="s">
        <v>71</v>
      </c>
      <c r="I305" s="5"/>
      <c r="J305" s="5"/>
      <c r="K305" s="5"/>
    </row>
    <row r="306" customFormat="false" ht="15" hidden="false" customHeight="false" outlineLevel="0" collapsed="false">
      <c r="A306" s="5" t="s">
        <v>565</v>
      </c>
      <c r="B306" s="5"/>
      <c r="C306" s="5" t="s">
        <v>1120</v>
      </c>
      <c r="D306" s="5" t="s">
        <v>1121</v>
      </c>
      <c r="E306" s="5" t="s">
        <v>1122</v>
      </c>
      <c r="F306" s="5" t="n">
        <v>1</v>
      </c>
      <c r="G306" s="5" t="s">
        <v>740</v>
      </c>
      <c r="H306" s="5" t="s">
        <v>71</v>
      </c>
      <c r="I306" s="5"/>
      <c r="J306" s="5"/>
      <c r="K306" s="5"/>
    </row>
    <row r="307" customFormat="false" ht="15" hidden="false" customHeight="false" outlineLevel="0" collapsed="false">
      <c r="A307" s="5" t="s">
        <v>565</v>
      </c>
      <c r="B307" s="5"/>
      <c r="C307" s="5" t="s">
        <v>1123</v>
      </c>
      <c r="D307" s="5"/>
      <c r="E307" s="5"/>
      <c r="F307" s="5" t="n">
        <v>0</v>
      </c>
      <c r="G307" s="5" t="s">
        <v>740</v>
      </c>
      <c r="H307" s="5" t="s">
        <v>71</v>
      </c>
      <c r="I307" s="5"/>
      <c r="J307" s="5"/>
      <c r="K307" s="7" t="s">
        <v>1033</v>
      </c>
    </row>
    <row r="308" customFormat="false" ht="15" hidden="false" customHeight="false" outlineLevel="0" collapsed="false">
      <c r="A308" s="5" t="s">
        <v>565</v>
      </c>
      <c r="B308" s="5"/>
      <c r="C308" s="5" t="s">
        <v>1124</v>
      </c>
      <c r="D308" s="5"/>
      <c r="E308" s="5"/>
      <c r="F308" s="5" t="n">
        <v>0</v>
      </c>
      <c r="G308" s="5" t="s">
        <v>740</v>
      </c>
      <c r="H308" s="5" t="s">
        <v>71</v>
      </c>
      <c r="I308" s="5"/>
      <c r="J308" s="5"/>
      <c r="K308" s="7" t="s">
        <v>1033</v>
      </c>
    </row>
    <row r="309" customFormat="false" ht="15" hidden="false" customHeight="false" outlineLevel="0" collapsed="false">
      <c r="A309" s="5" t="s">
        <v>565</v>
      </c>
      <c r="B309" s="5"/>
      <c r="C309" s="5" t="s">
        <v>1125</v>
      </c>
      <c r="D309" s="5"/>
      <c r="E309" s="5"/>
      <c r="F309" s="5" t="n">
        <v>0</v>
      </c>
      <c r="G309" s="5" t="s">
        <v>740</v>
      </c>
      <c r="H309" s="5" t="s">
        <v>71</v>
      </c>
      <c r="I309" s="5"/>
      <c r="J309" s="5"/>
      <c r="K309" s="7" t="s">
        <v>1033</v>
      </c>
    </row>
    <row r="310" customFormat="false" ht="23.85" hidden="false" customHeight="false" outlineLevel="0" collapsed="false">
      <c r="A310" s="5" t="s">
        <v>565</v>
      </c>
      <c r="B310" s="5"/>
      <c r="C310" s="5" t="s">
        <v>1126</v>
      </c>
      <c r="D310" s="5" t="s">
        <v>1127</v>
      </c>
      <c r="E310" s="5" t="s">
        <v>1128</v>
      </c>
      <c r="F310" s="5" t="n">
        <v>1</v>
      </c>
      <c r="G310" s="5" t="s">
        <v>740</v>
      </c>
      <c r="H310" s="5" t="s">
        <v>71</v>
      </c>
      <c r="I310" s="5"/>
      <c r="J310" s="5"/>
      <c r="K310" s="5"/>
    </row>
    <row r="311" customFormat="false" ht="15" hidden="false" customHeight="false" outlineLevel="0" collapsed="false">
      <c r="A311" s="5" t="s">
        <v>565</v>
      </c>
      <c r="B311" s="5"/>
      <c r="C311" s="5" t="s">
        <v>1129</v>
      </c>
      <c r="D311" s="5"/>
      <c r="E311" s="5"/>
      <c r="F311" s="5" t="n">
        <v>0</v>
      </c>
      <c r="G311" s="5" t="s">
        <v>740</v>
      </c>
      <c r="H311" s="5" t="s">
        <v>71</v>
      </c>
      <c r="I311" s="5"/>
      <c r="J311" s="5"/>
      <c r="K311" s="7" t="s">
        <v>1033</v>
      </c>
    </row>
    <row r="312" customFormat="false" ht="15" hidden="false" customHeight="false" outlineLevel="0" collapsed="false">
      <c r="A312" s="5" t="s">
        <v>565</v>
      </c>
      <c r="B312" s="5"/>
      <c r="C312" s="5" t="s">
        <v>1130</v>
      </c>
      <c r="D312" s="5"/>
      <c r="E312" s="5"/>
      <c r="F312" s="5" t="n">
        <v>0</v>
      </c>
      <c r="G312" s="5" t="s">
        <v>740</v>
      </c>
      <c r="H312" s="5" t="s">
        <v>71</v>
      </c>
      <c r="I312" s="5"/>
      <c r="J312" s="5"/>
      <c r="K312" s="7" t="s">
        <v>1033</v>
      </c>
    </row>
    <row r="313" customFormat="false" ht="15" hidden="false" customHeight="false" outlineLevel="0" collapsed="false">
      <c r="A313" s="5" t="s">
        <v>565</v>
      </c>
      <c r="B313" s="5"/>
      <c r="C313" s="5" t="s">
        <v>1131</v>
      </c>
      <c r="D313" s="5"/>
      <c r="E313" s="5"/>
      <c r="F313" s="5" t="n">
        <v>0</v>
      </c>
      <c r="G313" s="5" t="s">
        <v>740</v>
      </c>
      <c r="H313" s="5" t="s">
        <v>71</v>
      </c>
      <c r="I313" s="5"/>
      <c r="J313" s="5"/>
      <c r="K313" s="7" t="s">
        <v>1033</v>
      </c>
    </row>
    <row r="314" customFormat="false" ht="15" hidden="false" customHeight="false" outlineLevel="0" collapsed="false">
      <c r="A314" s="5" t="s">
        <v>565</v>
      </c>
      <c r="B314" s="5"/>
      <c r="C314" s="5" t="s">
        <v>1132</v>
      </c>
      <c r="D314" s="5"/>
      <c r="E314" s="5"/>
      <c r="F314" s="5" t="n">
        <v>0</v>
      </c>
      <c r="G314" s="5" t="s">
        <v>740</v>
      </c>
      <c r="H314" s="5" t="s">
        <v>71</v>
      </c>
      <c r="I314" s="5"/>
      <c r="J314" s="5"/>
      <c r="K314" s="7" t="s">
        <v>1033</v>
      </c>
    </row>
    <row r="315" customFormat="false" ht="15" hidden="false" customHeight="false" outlineLevel="0" collapsed="false">
      <c r="A315" s="5" t="s">
        <v>565</v>
      </c>
      <c r="B315" s="5"/>
      <c r="C315" s="5" t="s">
        <v>1133</v>
      </c>
      <c r="D315" s="5"/>
      <c r="E315" s="5"/>
      <c r="F315" s="5" t="n">
        <v>0</v>
      </c>
      <c r="G315" s="5" t="s">
        <v>740</v>
      </c>
      <c r="H315" s="5" t="s">
        <v>71</v>
      </c>
      <c r="I315" s="5"/>
      <c r="J315" s="5"/>
      <c r="K315" s="7" t="s">
        <v>1033</v>
      </c>
    </row>
    <row r="316" customFormat="false" ht="15" hidden="false" customHeight="false" outlineLevel="0" collapsed="false">
      <c r="A316" s="5" t="s">
        <v>565</v>
      </c>
      <c r="B316" s="5"/>
      <c r="C316" s="5" t="s">
        <v>1134</v>
      </c>
      <c r="D316" s="5"/>
      <c r="E316" s="5"/>
      <c r="F316" s="5" t="n">
        <v>0</v>
      </c>
      <c r="G316" s="5" t="s">
        <v>740</v>
      </c>
      <c r="H316" s="5" t="s">
        <v>71</v>
      </c>
      <c r="I316" s="5"/>
      <c r="J316" s="5"/>
      <c r="K316" s="7" t="s">
        <v>1033</v>
      </c>
    </row>
    <row r="317" customFormat="false" ht="23.85" hidden="false" customHeight="false" outlineLevel="0" collapsed="false">
      <c r="A317" s="5" t="s">
        <v>565</v>
      </c>
      <c r="B317" s="5"/>
      <c r="C317" s="5" t="s">
        <v>1135</v>
      </c>
      <c r="D317" s="5" t="s">
        <v>1136</v>
      </c>
      <c r="E317" s="5" t="s">
        <v>1137</v>
      </c>
      <c r="F317" s="5" t="n">
        <v>1</v>
      </c>
      <c r="G317" s="5" t="s">
        <v>740</v>
      </c>
      <c r="H317" s="5" t="s">
        <v>71</v>
      </c>
      <c r="I317" s="5"/>
      <c r="J317" s="5"/>
      <c r="K317" s="5"/>
    </row>
    <row r="318" customFormat="false" ht="15" hidden="false" customHeight="false" outlineLevel="0" collapsed="false">
      <c r="A318" s="5" t="s">
        <v>565</v>
      </c>
      <c r="B318" s="5"/>
      <c r="C318" s="5" t="s">
        <v>1138</v>
      </c>
      <c r="D318" s="5" t="s">
        <v>1139</v>
      </c>
      <c r="E318" s="5" t="s">
        <v>1140</v>
      </c>
      <c r="F318" s="5" t="n">
        <v>1</v>
      </c>
      <c r="G318" s="5" t="s">
        <v>740</v>
      </c>
      <c r="H318" s="5" t="s">
        <v>71</v>
      </c>
      <c r="I318" s="5"/>
      <c r="J318" s="5"/>
      <c r="K318" s="5"/>
    </row>
    <row r="319" customFormat="false" ht="15" hidden="false" customHeight="false" outlineLevel="0" collapsed="false">
      <c r="A319" s="5" t="s">
        <v>565</v>
      </c>
      <c r="B319" s="5"/>
      <c r="C319" s="5" t="s">
        <v>1141</v>
      </c>
      <c r="D319" s="5"/>
      <c r="E319" s="5"/>
      <c r="F319" s="5" t="n">
        <v>0</v>
      </c>
      <c r="G319" s="5" t="s">
        <v>740</v>
      </c>
      <c r="H319" s="5" t="s">
        <v>71</v>
      </c>
      <c r="I319" s="5"/>
      <c r="J319" s="5"/>
      <c r="K319" s="7" t="s">
        <v>1033</v>
      </c>
    </row>
    <row r="320" customFormat="false" ht="15" hidden="false" customHeight="false" outlineLevel="0" collapsed="false">
      <c r="A320" s="5" t="s">
        <v>565</v>
      </c>
      <c r="B320" s="5"/>
      <c r="C320" s="5" t="s">
        <v>1142</v>
      </c>
      <c r="D320" s="5"/>
      <c r="E320" s="5"/>
      <c r="F320" s="5" t="n">
        <v>0</v>
      </c>
      <c r="G320" s="5" t="s">
        <v>740</v>
      </c>
      <c r="H320" s="5" t="s">
        <v>71</v>
      </c>
      <c r="I320" s="5"/>
      <c r="J320" s="5"/>
      <c r="K320" s="7" t="s">
        <v>1033</v>
      </c>
    </row>
    <row r="321" customFormat="false" ht="15" hidden="false" customHeight="false" outlineLevel="0" collapsed="false">
      <c r="A321" s="5" t="s">
        <v>565</v>
      </c>
      <c r="B321" s="5"/>
      <c r="C321" s="5" t="s">
        <v>1143</v>
      </c>
      <c r="D321" s="5"/>
      <c r="E321" s="5"/>
      <c r="F321" s="5" t="n">
        <v>0</v>
      </c>
      <c r="G321" s="5" t="s">
        <v>740</v>
      </c>
      <c r="H321" s="5" t="s">
        <v>71</v>
      </c>
      <c r="I321" s="5"/>
      <c r="J321" s="5"/>
      <c r="K321" s="7" t="s">
        <v>1033</v>
      </c>
    </row>
    <row r="322" customFormat="false" ht="15" hidden="false" customHeight="false" outlineLevel="0" collapsed="false">
      <c r="A322" s="5" t="s">
        <v>565</v>
      </c>
      <c r="B322" s="5"/>
      <c r="C322" s="5" t="s">
        <v>1144</v>
      </c>
      <c r="D322" s="5"/>
      <c r="E322" s="5"/>
      <c r="F322" s="5" t="n">
        <v>0</v>
      </c>
      <c r="G322" s="5" t="s">
        <v>740</v>
      </c>
      <c r="H322" s="5" t="s">
        <v>71</v>
      </c>
      <c r="I322" s="5"/>
      <c r="J322" s="5"/>
      <c r="K322" s="7" t="s">
        <v>1033</v>
      </c>
    </row>
    <row r="323" customFormat="false" ht="15" hidden="false" customHeight="false" outlineLevel="0" collapsed="false">
      <c r="A323" s="5" t="s">
        <v>565</v>
      </c>
      <c r="B323" s="5"/>
      <c r="C323" s="5" t="s">
        <v>1145</v>
      </c>
      <c r="D323" s="5"/>
      <c r="E323" s="5"/>
      <c r="F323" s="5" t="n">
        <v>0</v>
      </c>
      <c r="G323" s="5" t="s">
        <v>740</v>
      </c>
      <c r="H323" s="5" t="s">
        <v>71</v>
      </c>
      <c r="I323" s="5"/>
      <c r="J323" s="5"/>
      <c r="K323" s="7" t="s">
        <v>1033</v>
      </c>
    </row>
    <row r="324" customFormat="false" ht="15" hidden="false" customHeight="false" outlineLevel="0" collapsed="false">
      <c r="A324" s="5" t="s">
        <v>565</v>
      </c>
      <c r="B324" s="5"/>
      <c r="C324" s="5" t="s">
        <v>1146</v>
      </c>
      <c r="D324" s="5"/>
      <c r="E324" s="5"/>
      <c r="F324" s="5" t="n">
        <v>0</v>
      </c>
      <c r="G324" s="5" t="s">
        <v>740</v>
      </c>
      <c r="H324" s="5" t="s">
        <v>71</v>
      </c>
      <c r="I324" s="5"/>
      <c r="J324" s="5"/>
      <c r="K324" s="7" t="s">
        <v>1033</v>
      </c>
    </row>
    <row r="325" customFormat="false" ht="15" hidden="false" customHeight="false" outlineLevel="0" collapsed="false">
      <c r="A325" s="5" t="s">
        <v>565</v>
      </c>
      <c r="B325" s="5"/>
      <c r="C325" s="5" t="s">
        <v>1147</v>
      </c>
      <c r="D325" s="5" t="s">
        <v>1148</v>
      </c>
      <c r="E325" s="5" t="s">
        <v>1149</v>
      </c>
      <c r="F325" s="5" t="n">
        <v>1</v>
      </c>
      <c r="G325" s="5" t="s">
        <v>740</v>
      </c>
      <c r="H325" s="5" t="s">
        <v>71</v>
      </c>
      <c r="I325" s="5"/>
      <c r="J325" s="5"/>
      <c r="K325" s="5"/>
    </row>
    <row r="326" customFormat="false" ht="15" hidden="false" customHeight="false" outlineLevel="0" collapsed="false">
      <c r="A326" s="5" t="s">
        <v>565</v>
      </c>
      <c r="B326" s="5"/>
      <c r="C326" s="5" t="s">
        <v>1150</v>
      </c>
      <c r="D326" s="5"/>
      <c r="E326" s="5"/>
      <c r="F326" s="5" t="n">
        <v>0</v>
      </c>
      <c r="G326" s="5" t="s">
        <v>740</v>
      </c>
      <c r="H326" s="5" t="s">
        <v>71</v>
      </c>
      <c r="I326" s="5"/>
      <c r="J326" s="5"/>
      <c r="K326" s="7" t="s">
        <v>1033</v>
      </c>
    </row>
    <row r="327" customFormat="false" ht="15" hidden="false" customHeight="false" outlineLevel="0" collapsed="false">
      <c r="A327" s="5" t="s">
        <v>565</v>
      </c>
      <c r="B327" s="5"/>
      <c r="C327" s="5" t="s">
        <v>1151</v>
      </c>
      <c r="D327" s="5"/>
      <c r="E327" s="5"/>
      <c r="F327" s="5" t="n">
        <v>0</v>
      </c>
      <c r="G327" s="5" t="s">
        <v>740</v>
      </c>
      <c r="H327" s="5" t="s">
        <v>71</v>
      </c>
      <c r="I327" s="5"/>
      <c r="J327" s="5"/>
      <c r="K327" s="7" t="s">
        <v>1033</v>
      </c>
    </row>
    <row r="328" customFormat="false" ht="15" hidden="false" customHeight="false" outlineLevel="0" collapsed="false">
      <c r="A328" s="5" t="s">
        <v>565</v>
      </c>
      <c r="B328" s="5"/>
      <c r="C328" s="5" t="s">
        <v>1152</v>
      </c>
      <c r="D328" s="5"/>
      <c r="E328" s="5"/>
      <c r="F328" s="5" t="n">
        <v>0</v>
      </c>
      <c r="G328" s="5" t="s">
        <v>740</v>
      </c>
      <c r="H328" s="5" t="s">
        <v>71</v>
      </c>
      <c r="I328" s="5"/>
      <c r="J328" s="5"/>
      <c r="K328" s="7" t="s">
        <v>1033</v>
      </c>
    </row>
    <row r="329" customFormat="false" ht="15" hidden="false" customHeight="false" outlineLevel="0" collapsed="false">
      <c r="A329" s="5" t="s">
        <v>565</v>
      </c>
      <c r="B329" s="5"/>
      <c r="C329" s="5" t="s">
        <v>1153</v>
      </c>
      <c r="D329" s="5"/>
      <c r="E329" s="5"/>
      <c r="F329" s="5" t="n">
        <v>0</v>
      </c>
      <c r="G329" s="5" t="s">
        <v>740</v>
      </c>
      <c r="H329" s="5" t="s">
        <v>71</v>
      </c>
      <c r="I329" s="5"/>
      <c r="J329" s="5"/>
      <c r="K329" s="7" t="s">
        <v>1033</v>
      </c>
    </row>
    <row r="330" customFormat="false" ht="15" hidden="false" customHeight="false" outlineLevel="0" collapsed="false">
      <c r="A330" s="5" t="s">
        <v>565</v>
      </c>
      <c r="B330" s="5"/>
      <c r="C330" s="5" t="s">
        <v>1154</v>
      </c>
      <c r="D330" s="5" t="s">
        <v>1155</v>
      </c>
      <c r="E330" s="5" t="s">
        <v>1156</v>
      </c>
      <c r="F330" s="5" t="n">
        <v>1</v>
      </c>
      <c r="G330" s="5" t="s">
        <v>740</v>
      </c>
      <c r="H330" s="5" t="s">
        <v>71</v>
      </c>
      <c r="I330" s="5"/>
      <c r="J330" s="5"/>
      <c r="K330" s="5"/>
    </row>
    <row r="331" customFormat="false" ht="15" hidden="false" customHeight="false" outlineLevel="0" collapsed="false">
      <c r="A331" s="5" t="s">
        <v>565</v>
      </c>
      <c r="B331" s="5"/>
      <c r="C331" s="5" t="s">
        <v>1157</v>
      </c>
      <c r="D331" s="5"/>
      <c r="E331" s="5"/>
      <c r="F331" s="5" t="n">
        <v>0</v>
      </c>
      <c r="G331" s="5" t="s">
        <v>740</v>
      </c>
      <c r="H331" s="5" t="s">
        <v>71</v>
      </c>
      <c r="I331" s="5"/>
      <c r="J331" s="5"/>
      <c r="K331" s="7" t="s">
        <v>1033</v>
      </c>
    </row>
    <row r="332" customFormat="false" ht="15" hidden="false" customHeight="false" outlineLevel="0" collapsed="false">
      <c r="A332" s="5" t="s">
        <v>565</v>
      </c>
      <c r="B332" s="5"/>
      <c r="C332" s="5" t="s">
        <v>1158</v>
      </c>
      <c r="D332" s="5"/>
      <c r="E332" s="5"/>
      <c r="F332" s="5" t="n">
        <v>0</v>
      </c>
      <c r="G332" s="5" t="s">
        <v>740</v>
      </c>
      <c r="H332" s="5" t="s">
        <v>71</v>
      </c>
      <c r="I332" s="5"/>
      <c r="J332" s="5"/>
      <c r="K332" s="7" t="s">
        <v>1033</v>
      </c>
    </row>
    <row r="333" customFormat="false" ht="15" hidden="false" customHeight="false" outlineLevel="0" collapsed="false">
      <c r="A333" s="5" t="s">
        <v>565</v>
      </c>
      <c r="B333" s="5"/>
      <c r="C333" s="5" t="s">
        <v>1159</v>
      </c>
      <c r="D333" s="5"/>
      <c r="E333" s="5"/>
      <c r="F333" s="5" t="n">
        <v>0</v>
      </c>
      <c r="G333" s="5" t="s">
        <v>740</v>
      </c>
      <c r="H333" s="5" t="s">
        <v>71</v>
      </c>
      <c r="I333" s="5"/>
      <c r="J333" s="5"/>
      <c r="K333" s="7" t="s">
        <v>1033</v>
      </c>
    </row>
    <row r="334" customFormat="false" ht="15" hidden="false" customHeight="false" outlineLevel="0" collapsed="false">
      <c r="A334" s="5" t="s">
        <v>565</v>
      </c>
      <c r="B334" s="5"/>
      <c r="C334" s="5" t="s">
        <v>1160</v>
      </c>
      <c r="D334" s="5"/>
      <c r="E334" s="5"/>
      <c r="F334" s="5" t="n">
        <v>0</v>
      </c>
      <c r="G334" s="5" t="s">
        <v>740</v>
      </c>
      <c r="H334" s="5" t="s">
        <v>71</v>
      </c>
      <c r="I334" s="5"/>
      <c r="J334" s="5"/>
      <c r="K334" s="7" t="s">
        <v>1033</v>
      </c>
    </row>
    <row r="335" customFormat="false" ht="15" hidden="false" customHeight="false" outlineLevel="0" collapsed="false">
      <c r="A335" s="5" t="s">
        <v>565</v>
      </c>
      <c r="B335" s="5"/>
      <c r="C335" s="5" t="s">
        <v>1161</v>
      </c>
      <c r="D335" s="5"/>
      <c r="E335" s="5"/>
      <c r="F335" s="5" t="n">
        <v>0</v>
      </c>
      <c r="G335" s="5" t="s">
        <v>740</v>
      </c>
      <c r="H335" s="5" t="s">
        <v>71</v>
      </c>
      <c r="I335" s="5"/>
      <c r="J335" s="5"/>
      <c r="K335" s="7" t="s">
        <v>1033</v>
      </c>
    </row>
    <row r="336" customFormat="false" ht="35.05" hidden="false" customHeight="false" outlineLevel="0" collapsed="false">
      <c r="A336" s="5" t="s">
        <v>565</v>
      </c>
      <c r="B336" s="5"/>
      <c r="C336" s="5" t="s">
        <v>1162</v>
      </c>
      <c r="D336" s="5" t="s">
        <v>1163</v>
      </c>
      <c r="E336" s="5" t="s">
        <v>1164</v>
      </c>
      <c r="F336" s="5" t="n">
        <v>1</v>
      </c>
      <c r="G336" s="5" t="s">
        <v>740</v>
      </c>
      <c r="H336" s="5" t="s">
        <v>71</v>
      </c>
      <c r="I336" s="5"/>
      <c r="J336" s="5"/>
      <c r="K336" s="5"/>
    </row>
    <row r="337" customFormat="false" ht="15" hidden="false" customHeight="false" outlineLevel="0" collapsed="false">
      <c r="A337" s="5" t="s">
        <v>565</v>
      </c>
      <c r="B337" s="5"/>
      <c r="C337" s="5" t="s">
        <v>1165</v>
      </c>
      <c r="D337" s="5"/>
      <c r="E337" s="5"/>
      <c r="F337" s="5" t="n">
        <v>0</v>
      </c>
      <c r="G337" s="5" t="s">
        <v>740</v>
      </c>
      <c r="H337" s="5" t="s">
        <v>71</v>
      </c>
      <c r="I337" s="5"/>
      <c r="J337" s="5"/>
      <c r="K337" s="7" t="s">
        <v>1033</v>
      </c>
    </row>
    <row r="338" customFormat="false" ht="15" hidden="false" customHeight="false" outlineLevel="0" collapsed="false">
      <c r="A338" s="5" t="s">
        <v>565</v>
      </c>
      <c r="B338" s="5"/>
      <c r="C338" s="5" t="s">
        <v>1166</v>
      </c>
      <c r="D338" s="5"/>
      <c r="E338" s="5"/>
      <c r="F338" s="5" t="n">
        <v>0</v>
      </c>
      <c r="G338" s="5" t="s">
        <v>740</v>
      </c>
      <c r="H338" s="5" t="s">
        <v>71</v>
      </c>
      <c r="I338" s="5"/>
      <c r="J338" s="5"/>
      <c r="K338" s="7" t="s">
        <v>1033</v>
      </c>
    </row>
    <row r="339" customFormat="false" ht="15" hidden="false" customHeight="false" outlineLevel="0" collapsed="false">
      <c r="A339" s="5" t="s">
        <v>565</v>
      </c>
      <c r="B339" s="5"/>
      <c r="C339" s="5" t="s">
        <v>1167</v>
      </c>
      <c r="D339" s="5"/>
      <c r="E339" s="5"/>
      <c r="F339" s="5" t="n">
        <v>0</v>
      </c>
      <c r="G339" s="5" t="s">
        <v>740</v>
      </c>
      <c r="H339" s="5" t="s">
        <v>71</v>
      </c>
      <c r="I339" s="5"/>
      <c r="J339" s="5"/>
      <c r="K339" s="7" t="s">
        <v>1033</v>
      </c>
    </row>
    <row r="340" customFormat="false" ht="15" hidden="false" customHeight="false" outlineLevel="0" collapsed="false">
      <c r="A340" s="5" t="s">
        <v>565</v>
      </c>
      <c r="B340" s="5"/>
      <c r="C340" s="5" t="s">
        <v>1168</v>
      </c>
      <c r="D340" s="5"/>
      <c r="E340" s="5"/>
      <c r="F340" s="5" t="n">
        <v>0</v>
      </c>
      <c r="G340" s="5" t="s">
        <v>740</v>
      </c>
      <c r="H340" s="5" t="s">
        <v>71</v>
      </c>
      <c r="I340" s="5"/>
      <c r="J340" s="5"/>
      <c r="K340" s="7" t="s">
        <v>1033</v>
      </c>
    </row>
    <row r="341" customFormat="false" ht="15" hidden="false" customHeight="false" outlineLevel="0" collapsed="false">
      <c r="A341" s="5" t="s">
        <v>565</v>
      </c>
      <c r="B341" s="5"/>
      <c r="C341" s="5" t="s">
        <v>1169</v>
      </c>
      <c r="D341" s="5"/>
      <c r="E341" s="5"/>
      <c r="F341" s="5" t="n">
        <v>0</v>
      </c>
      <c r="G341" s="5" t="s">
        <v>740</v>
      </c>
      <c r="H341" s="5" t="s">
        <v>71</v>
      </c>
      <c r="I341" s="5"/>
      <c r="J341" s="5"/>
      <c r="K341" s="7" t="s">
        <v>1033</v>
      </c>
    </row>
    <row r="342" customFormat="false" ht="15" hidden="false" customHeight="false" outlineLevel="0" collapsed="false">
      <c r="A342" s="5" t="s">
        <v>565</v>
      </c>
      <c r="B342" s="5"/>
      <c r="C342" s="5" t="s">
        <v>1170</v>
      </c>
      <c r="D342" s="5"/>
      <c r="E342" s="5"/>
      <c r="F342" s="5" t="n">
        <v>0</v>
      </c>
      <c r="G342" s="5" t="s">
        <v>740</v>
      </c>
      <c r="H342" s="5" t="s">
        <v>71</v>
      </c>
      <c r="I342" s="5"/>
      <c r="J342" s="5"/>
      <c r="K342" s="7" t="s">
        <v>1033</v>
      </c>
    </row>
    <row r="343" customFormat="false" ht="15" hidden="false" customHeight="false" outlineLevel="0" collapsed="false">
      <c r="A343" s="5" t="s">
        <v>565</v>
      </c>
      <c r="B343" s="5"/>
      <c r="C343" s="5" t="s">
        <v>1171</v>
      </c>
      <c r="D343" s="5"/>
      <c r="E343" s="5"/>
      <c r="F343" s="5" t="n">
        <v>0</v>
      </c>
      <c r="G343" s="5" t="s">
        <v>740</v>
      </c>
      <c r="H343" s="5" t="s">
        <v>71</v>
      </c>
      <c r="I343" s="5"/>
      <c r="J343" s="5"/>
      <c r="K343" s="7" t="s">
        <v>1033</v>
      </c>
    </row>
    <row r="344" customFormat="false" ht="15" hidden="false" customHeight="false" outlineLevel="0" collapsed="false">
      <c r="A344" s="5" t="s">
        <v>565</v>
      </c>
      <c r="B344" s="5"/>
      <c r="C344" s="5" t="s">
        <v>1172</v>
      </c>
      <c r="D344" s="5"/>
      <c r="E344" s="5"/>
      <c r="F344" s="5" t="n">
        <v>0</v>
      </c>
      <c r="G344" s="5" t="s">
        <v>740</v>
      </c>
      <c r="H344" s="5" t="s">
        <v>71</v>
      </c>
      <c r="I344" s="5"/>
      <c r="J344" s="5"/>
      <c r="K344" s="7" t="s">
        <v>1033</v>
      </c>
    </row>
    <row r="345" customFormat="false" ht="15" hidden="false" customHeight="false" outlineLevel="0" collapsed="false">
      <c r="A345" s="5" t="s">
        <v>565</v>
      </c>
      <c r="B345" s="5"/>
      <c r="C345" s="5" t="s">
        <v>1173</v>
      </c>
      <c r="D345" s="5"/>
      <c r="E345" s="5"/>
      <c r="F345" s="5" t="n">
        <v>0</v>
      </c>
      <c r="G345" s="5" t="s">
        <v>740</v>
      </c>
      <c r="H345" s="5" t="s">
        <v>71</v>
      </c>
      <c r="I345" s="5"/>
      <c r="J345" s="5"/>
      <c r="K345" s="7" t="s">
        <v>1033</v>
      </c>
    </row>
    <row r="346" customFormat="false" ht="15" hidden="false" customHeight="false" outlineLevel="0" collapsed="false">
      <c r="A346" s="5" t="s">
        <v>565</v>
      </c>
      <c r="B346" s="5"/>
      <c r="C346" s="5" t="s">
        <v>1174</v>
      </c>
      <c r="D346" s="5" t="s">
        <v>1175</v>
      </c>
      <c r="E346" s="5" t="s">
        <v>1176</v>
      </c>
      <c r="F346" s="5" t="n">
        <v>2</v>
      </c>
      <c r="G346" s="5" t="s">
        <v>740</v>
      </c>
      <c r="H346" s="5" t="s">
        <v>71</v>
      </c>
      <c r="I346" s="5"/>
      <c r="J346" s="5"/>
      <c r="K346" s="5"/>
    </row>
    <row r="347" customFormat="false" ht="15" hidden="false" customHeight="false" outlineLevel="0" collapsed="false">
      <c r="A347" s="5" t="s">
        <v>565</v>
      </c>
      <c r="B347" s="5"/>
      <c r="C347" s="5" t="s">
        <v>1177</v>
      </c>
      <c r="D347" s="5"/>
      <c r="E347" s="5"/>
      <c r="F347" s="5" t="n">
        <v>0</v>
      </c>
      <c r="G347" s="5" t="s">
        <v>740</v>
      </c>
      <c r="H347" s="5" t="s">
        <v>71</v>
      </c>
      <c r="I347" s="5"/>
      <c r="J347" s="5"/>
      <c r="K347" s="7" t="s">
        <v>1033</v>
      </c>
    </row>
    <row r="348" customFormat="false" ht="15" hidden="false" customHeight="false" outlineLevel="0" collapsed="false">
      <c r="A348" s="5" t="s">
        <v>565</v>
      </c>
      <c r="B348" s="5"/>
      <c r="C348" s="5" t="s">
        <v>1178</v>
      </c>
      <c r="D348" s="5"/>
      <c r="E348" s="5"/>
      <c r="F348" s="5" t="n">
        <v>0</v>
      </c>
      <c r="G348" s="5" t="s">
        <v>740</v>
      </c>
      <c r="H348" s="5" t="s">
        <v>71</v>
      </c>
      <c r="I348" s="5"/>
      <c r="J348" s="5"/>
      <c r="K348" s="7" t="s">
        <v>1033</v>
      </c>
    </row>
    <row r="349" customFormat="false" ht="15" hidden="false" customHeight="false" outlineLevel="0" collapsed="false">
      <c r="A349" s="5" t="s">
        <v>565</v>
      </c>
      <c r="B349" s="5"/>
      <c r="C349" s="5" t="s">
        <v>1179</v>
      </c>
      <c r="D349" s="5"/>
      <c r="E349" s="5"/>
      <c r="F349" s="5" t="n">
        <v>0</v>
      </c>
      <c r="G349" s="5" t="s">
        <v>740</v>
      </c>
      <c r="H349" s="5" t="s">
        <v>71</v>
      </c>
      <c r="I349" s="5"/>
      <c r="J349" s="5"/>
      <c r="K349" s="7" t="s">
        <v>1033</v>
      </c>
    </row>
    <row r="350" customFormat="false" ht="15" hidden="false" customHeight="false" outlineLevel="0" collapsed="false">
      <c r="A350" s="5" t="s">
        <v>565</v>
      </c>
      <c r="B350" s="5"/>
      <c r="C350" s="5" t="s">
        <v>1180</v>
      </c>
      <c r="D350" s="5"/>
      <c r="E350" s="5"/>
      <c r="F350" s="5" t="n">
        <v>0</v>
      </c>
      <c r="G350" s="5" t="s">
        <v>740</v>
      </c>
      <c r="H350" s="5" t="s">
        <v>71</v>
      </c>
      <c r="I350" s="5"/>
      <c r="J350" s="5"/>
      <c r="K350" s="7" t="s">
        <v>1033</v>
      </c>
    </row>
    <row r="351" customFormat="false" ht="15" hidden="false" customHeight="false" outlineLevel="0" collapsed="false">
      <c r="A351" s="5" t="s">
        <v>565</v>
      </c>
      <c r="B351" s="5"/>
      <c r="C351" s="5" t="s">
        <v>1181</v>
      </c>
      <c r="D351" s="5"/>
      <c r="E351" s="5"/>
      <c r="F351" s="5" t="n">
        <v>0</v>
      </c>
      <c r="G351" s="5" t="s">
        <v>740</v>
      </c>
      <c r="H351" s="5" t="s">
        <v>71</v>
      </c>
      <c r="I351" s="5"/>
      <c r="J351" s="5"/>
      <c r="K351" s="7" t="s">
        <v>1033</v>
      </c>
    </row>
    <row r="352" customFormat="false" ht="15" hidden="false" customHeight="false" outlineLevel="0" collapsed="false">
      <c r="A352" s="5" t="s">
        <v>565</v>
      </c>
      <c r="B352" s="5"/>
      <c r="C352" s="5" t="s">
        <v>1182</v>
      </c>
      <c r="D352" s="5"/>
      <c r="E352" s="5"/>
      <c r="F352" s="5" t="n">
        <v>0</v>
      </c>
      <c r="G352" s="5" t="s">
        <v>740</v>
      </c>
      <c r="H352" s="5" t="s">
        <v>71</v>
      </c>
      <c r="I352" s="5"/>
      <c r="J352" s="5"/>
      <c r="K352" s="7" t="s">
        <v>1033</v>
      </c>
    </row>
    <row r="353" customFormat="false" ht="15" hidden="false" customHeight="false" outlineLevel="0" collapsed="false">
      <c r="A353" s="5" t="s">
        <v>565</v>
      </c>
      <c r="B353" s="5"/>
      <c r="C353" s="5" t="s">
        <v>1183</v>
      </c>
      <c r="D353" s="5"/>
      <c r="E353" s="5"/>
      <c r="F353" s="5" t="n">
        <v>0</v>
      </c>
      <c r="G353" s="5" t="s">
        <v>740</v>
      </c>
      <c r="H353" s="5" t="s">
        <v>71</v>
      </c>
      <c r="I353" s="5"/>
      <c r="J353" s="5"/>
      <c r="K353" s="7" t="s">
        <v>1033</v>
      </c>
    </row>
    <row r="354" customFormat="false" ht="15" hidden="false" customHeight="false" outlineLevel="0" collapsed="false">
      <c r="A354" s="5" t="s">
        <v>565</v>
      </c>
      <c r="B354" s="5"/>
      <c r="C354" s="5" t="s">
        <v>1184</v>
      </c>
      <c r="D354" s="5"/>
      <c r="E354" s="5"/>
      <c r="F354" s="5" t="n">
        <v>0</v>
      </c>
      <c r="G354" s="5" t="s">
        <v>740</v>
      </c>
      <c r="H354" s="5" t="s">
        <v>71</v>
      </c>
      <c r="I354" s="5"/>
      <c r="J354" s="5"/>
      <c r="K354" s="7" t="s">
        <v>1033</v>
      </c>
    </row>
    <row r="355" customFormat="false" ht="15" hidden="false" customHeight="false" outlineLevel="0" collapsed="false">
      <c r="A355" s="5" t="s">
        <v>565</v>
      </c>
      <c r="B355" s="5"/>
      <c r="C355" s="5" t="s">
        <v>1185</v>
      </c>
      <c r="D355" s="5"/>
      <c r="E355" s="5"/>
      <c r="F355" s="5" t="n">
        <v>0</v>
      </c>
      <c r="G355" s="5" t="s">
        <v>740</v>
      </c>
      <c r="H355" s="5" t="s">
        <v>71</v>
      </c>
      <c r="I355" s="5"/>
      <c r="J355" s="5"/>
      <c r="K355" s="7" t="s">
        <v>1033</v>
      </c>
    </row>
    <row r="356" customFormat="false" ht="15" hidden="false" customHeight="false" outlineLevel="0" collapsed="false">
      <c r="A356" s="5" t="s">
        <v>565</v>
      </c>
      <c r="B356" s="5"/>
      <c r="C356" s="5" t="s">
        <v>1186</v>
      </c>
      <c r="D356" s="5"/>
      <c r="E356" s="5"/>
      <c r="F356" s="5" t="n">
        <v>0</v>
      </c>
      <c r="G356" s="5" t="s">
        <v>740</v>
      </c>
      <c r="H356" s="5" t="s">
        <v>71</v>
      </c>
      <c r="I356" s="5"/>
      <c r="J356" s="5"/>
      <c r="K356" s="7" t="s">
        <v>1033</v>
      </c>
    </row>
    <row r="357" customFormat="false" ht="15" hidden="false" customHeight="false" outlineLevel="0" collapsed="false">
      <c r="A357" s="5" t="s">
        <v>565</v>
      </c>
      <c r="B357" s="5"/>
      <c r="C357" s="5" t="s">
        <v>1187</v>
      </c>
      <c r="D357" s="5" t="s">
        <v>1188</v>
      </c>
      <c r="E357" s="5" t="s">
        <v>1189</v>
      </c>
      <c r="F357" s="5" t="n">
        <v>1</v>
      </c>
      <c r="G357" s="5" t="s">
        <v>740</v>
      </c>
      <c r="H357" s="5" t="s">
        <v>71</v>
      </c>
      <c r="I357" s="5"/>
      <c r="J357" s="5"/>
      <c r="K357" s="5"/>
    </row>
    <row r="358" customFormat="false" ht="15" hidden="false" customHeight="false" outlineLevel="0" collapsed="false">
      <c r="A358" s="5" t="s">
        <v>565</v>
      </c>
      <c r="B358" s="5"/>
      <c r="C358" s="5" t="s">
        <v>1190</v>
      </c>
      <c r="D358" s="5"/>
      <c r="E358" s="5"/>
      <c r="F358" s="5" t="n">
        <v>0</v>
      </c>
      <c r="G358" s="5" t="s">
        <v>740</v>
      </c>
      <c r="H358" s="5" t="s">
        <v>71</v>
      </c>
      <c r="I358" s="5"/>
      <c r="J358" s="5"/>
      <c r="K358" s="7" t="s">
        <v>1033</v>
      </c>
    </row>
    <row r="359" customFormat="false" ht="15" hidden="false" customHeight="false" outlineLevel="0" collapsed="false">
      <c r="A359" s="5" t="s">
        <v>565</v>
      </c>
      <c r="B359" s="5"/>
      <c r="C359" s="5" t="s">
        <v>1191</v>
      </c>
      <c r="D359" s="5"/>
      <c r="E359" s="5"/>
      <c r="F359" s="5" t="n">
        <v>0</v>
      </c>
      <c r="G359" s="5" t="s">
        <v>740</v>
      </c>
      <c r="H359" s="5" t="s">
        <v>71</v>
      </c>
      <c r="I359" s="5"/>
      <c r="J359" s="5"/>
      <c r="K359" s="7" t="s">
        <v>1033</v>
      </c>
    </row>
    <row r="360" customFormat="false" ht="15" hidden="false" customHeight="false" outlineLevel="0" collapsed="false">
      <c r="A360" s="5" t="s">
        <v>565</v>
      </c>
      <c r="B360" s="5"/>
      <c r="C360" s="5" t="s">
        <v>1192</v>
      </c>
      <c r="D360" s="5"/>
      <c r="E360" s="5"/>
      <c r="F360" s="5" t="n">
        <v>0</v>
      </c>
      <c r="G360" s="5" t="s">
        <v>740</v>
      </c>
      <c r="H360" s="5" t="s">
        <v>71</v>
      </c>
      <c r="I360" s="5"/>
      <c r="J360" s="5"/>
      <c r="K360" s="7" t="s">
        <v>1033</v>
      </c>
    </row>
    <row r="361" customFormat="false" ht="15" hidden="false" customHeight="false" outlineLevel="0" collapsed="false">
      <c r="A361" s="5" t="s">
        <v>565</v>
      </c>
      <c r="B361" s="5"/>
      <c r="C361" s="5" t="s">
        <v>1193</v>
      </c>
      <c r="D361" s="5"/>
      <c r="E361" s="5"/>
      <c r="F361" s="5" t="n">
        <v>0</v>
      </c>
      <c r="G361" s="5" t="s">
        <v>740</v>
      </c>
      <c r="H361" s="5" t="s">
        <v>71</v>
      </c>
      <c r="I361" s="5"/>
      <c r="J361" s="5"/>
      <c r="K361" s="7" t="s">
        <v>1033</v>
      </c>
    </row>
    <row r="362" customFormat="false" ht="15" hidden="false" customHeight="false" outlineLevel="0" collapsed="false">
      <c r="A362" s="5" t="s">
        <v>565</v>
      </c>
      <c r="B362" s="5"/>
      <c r="C362" s="5" t="s">
        <v>1194</v>
      </c>
      <c r="D362" s="5"/>
      <c r="E362" s="5"/>
      <c r="F362" s="5" t="n">
        <v>0</v>
      </c>
      <c r="G362" s="5" t="s">
        <v>740</v>
      </c>
      <c r="H362" s="5" t="s">
        <v>71</v>
      </c>
      <c r="I362" s="5"/>
      <c r="J362" s="5"/>
      <c r="K362" s="7" t="s">
        <v>1033</v>
      </c>
    </row>
    <row r="363" customFormat="false" ht="15" hidden="false" customHeight="false" outlineLevel="0" collapsed="false">
      <c r="A363" s="5" t="s">
        <v>565</v>
      </c>
      <c r="B363" s="5"/>
      <c r="C363" s="5" t="s">
        <v>1195</v>
      </c>
      <c r="D363" s="5"/>
      <c r="E363" s="5"/>
      <c r="F363" s="5" t="n">
        <v>0</v>
      </c>
      <c r="G363" s="5" t="s">
        <v>740</v>
      </c>
      <c r="H363" s="5" t="s">
        <v>71</v>
      </c>
      <c r="I363" s="5"/>
      <c r="J363" s="5"/>
      <c r="K363" s="7" t="s">
        <v>1033</v>
      </c>
    </row>
    <row r="364" customFormat="false" ht="15" hidden="false" customHeight="false" outlineLevel="0" collapsed="false">
      <c r="A364" s="5" t="s">
        <v>565</v>
      </c>
      <c r="B364" s="5"/>
      <c r="C364" s="5" t="s">
        <v>1196</v>
      </c>
      <c r="D364" s="5"/>
      <c r="E364" s="5"/>
      <c r="F364" s="5" t="n">
        <v>0</v>
      </c>
      <c r="G364" s="5" t="s">
        <v>740</v>
      </c>
      <c r="H364" s="5" t="s">
        <v>71</v>
      </c>
      <c r="I364" s="5"/>
      <c r="J364" s="5"/>
      <c r="K364" s="7" t="s">
        <v>1033</v>
      </c>
    </row>
    <row r="365" customFormat="false" ht="15" hidden="false" customHeight="false" outlineLevel="0" collapsed="false">
      <c r="A365" s="5" t="s">
        <v>565</v>
      </c>
      <c r="B365" s="5"/>
      <c r="C365" s="5" t="s">
        <v>1197</v>
      </c>
      <c r="D365" s="5"/>
      <c r="E365" s="5"/>
      <c r="F365" s="5" t="n">
        <v>0</v>
      </c>
      <c r="G365" s="5" t="s">
        <v>740</v>
      </c>
      <c r="H365" s="5" t="s">
        <v>71</v>
      </c>
      <c r="I365" s="5"/>
      <c r="J365" s="5"/>
      <c r="K365" s="7" t="s">
        <v>1033</v>
      </c>
    </row>
    <row r="366" customFormat="false" ht="15" hidden="false" customHeight="false" outlineLevel="0" collapsed="false">
      <c r="A366" s="5" t="s">
        <v>565</v>
      </c>
      <c r="B366" s="5"/>
      <c r="C366" s="5" t="s">
        <v>1198</v>
      </c>
      <c r="D366" s="5"/>
      <c r="E366" s="5"/>
      <c r="F366" s="5" t="n">
        <v>0</v>
      </c>
      <c r="G366" s="5" t="s">
        <v>740</v>
      </c>
      <c r="H366" s="5" t="s">
        <v>71</v>
      </c>
      <c r="I366" s="5"/>
      <c r="J366" s="5"/>
      <c r="K366" s="7" t="s">
        <v>1033</v>
      </c>
    </row>
    <row r="367" customFormat="false" ht="15" hidden="false" customHeight="false" outlineLevel="0" collapsed="false">
      <c r="A367" s="5" t="s">
        <v>565</v>
      </c>
      <c r="B367" s="5"/>
      <c r="C367" s="5" t="s">
        <v>1199</v>
      </c>
      <c r="D367" s="5"/>
      <c r="E367" s="5"/>
      <c r="F367" s="5" t="n">
        <v>0</v>
      </c>
      <c r="G367" s="5" t="s">
        <v>740</v>
      </c>
      <c r="H367" s="5" t="s">
        <v>71</v>
      </c>
      <c r="I367" s="5"/>
      <c r="J367" s="5"/>
      <c r="K367" s="7" t="s">
        <v>1033</v>
      </c>
    </row>
    <row r="368" customFormat="false" ht="15" hidden="false" customHeight="false" outlineLevel="0" collapsed="false">
      <c r="A368" s="5" t="s">
        <v>565</v>
      </c>
      <c r="B368" s="5"/>
      <c r="C368" s="5" t="s">
        <v>1200</v>
      </c>
      <c r="D368" s="5" t="s">
        <v>1201</v>
      </c>
      <c r="E368" s="5" t="s">
        <v>1202</v>
      </c>
      <c r="F368" s="5" t="n">
        <v>1</v>
      </c>
      <c r="G368" s="5" t="s">
        <v>740</v>
      </c>
      <c r="H368" s="5" t="s">
        <v>71</v>
      </c>
      <c r="I368" s="5"/>
      <c r="J368" s="5"/>
      <c r="K368" s="5"/>
    </row>
    <row r="369" customFormat="false" ht="15" hidden="false" customHeight="false" outlineLevel="0" collapsed="false">
      <c r="A369" s="5" t="s">
        <v>565</v>
      </c>
      <c r="B369" s="5"/>
      <c r="C369" s="5" t="s">
        <v>1203</v>
      </c>
      <c r="D369" s="5"/>
      <c r="E369" s="5"/>
      <c r="F369" s="5" t="n">
        <v>0</v>
      </c>
      <c r="G369" s="5" t="s">
        <v>740</v>
      </c>
      <c r="H369" s="5" t="s">
        <v>71</v>
      </c>
      <c r="I369" s="5"/>
      <c r="J369" s="5"/>
      <c r="K369" s="7" t="s">
        <v>1033</v>
      </c>
    </row>
    <row r="370" customFormat="false" ht="15" hidden="false" customHeight="false" outlineLevel="0" collapsed="false">
      <c r="A370" s="5" t="s">
        <v>565</v>
      </c>
      <c r="B370" s="5"/>
      <c r="C370" s="5" t="s">
        <v>1204</v>
      </c>
      <c r="D370" s="5"/>
      <c r="E370" s="5"/>
      <c r="F370" s="5" t="n">
        <v>0</v>
      </c>
      <c r="G370" s="5" t="s">
        <v>740</v>
      </c>
      <c r="H370" s="5" t="s">
        <v>71</v>
      </c>
      <c r="I370" s="5"/>
      <c r="J370" s="5"/>
      <c r="K370" s="7" t="s">
        <v>1033</v>
      </c>
    </row>
    <row r="371" customFormat="false" ht="15" hidden="false" customHeight="false" outlineLevel="0" collapsed="false">
      <c r="A371" s="5" t="s">
        <v>565</v>
      </c>
      <c r="B371" s="5"/>
      <c r="C371" s="5" t="s">
        <v>1205</v>
      </c>
      <c r="D371" s="5"/>
      <c r="E371" s="5"/>
      <c r="F371" s="5" t="n">
        <v>0</v>
      </c>
      <c r="G371" s="5" t="s">
        <v>740</v>
      </c>
      <c r="H371" s="5" t="s">
        <v>71</v>
      </c>
      <c r="I371" s="5"/>
      <c r="J371" s="5"/>
      <c r="K371" s="7" t="s">
        <v>1033</v>
      </c>
    </row>
    <row r="372" customFormat="false" ht="15" hidden="false" customHeight="false" outlineLevel="0" collapsed="false">
      <c r="A372" s="5" t="s">
        <v>565</v>
      </c>
      <c r="B372" s="5"/>
      <c r="C372" s="5" t="s">
        <v>1206</v>
      </c>
      <c r="D372" s="5"/>
      <c r="E372" s="5"/>
      <c r="F372" s="5" t="n">
        <v>0</v>
      </c>
      <c r="G372" s="5" t="s">
        <v>740</v>
      </c>
      <c r="H372" s="5" t="s">
        <v>71</v>
      </c>
      <c r="I372" s="5"/>
      <c r="J372" s="5"/>
      <c r="K372" s="7" t="s">
        <v>1033</v>
      </c>
    </row>
    <row r="373" customFormat="false" ht="15" hidden="false" customHeight="false" outlineLevel="0" collapsed="false">
      <c r="A373" s="5" t="s">
        <v>565</v>
      </c>
      <c r="B373" s="5"/>
      <c r="C373" s="5" t="s">
        <v>1207</v>
      </c>
      <c r="D373" s="5"/>
      <c r="E373" s="5"/>
      <c r="F373" s="5" t="n">
        <v>0</v>
      </c>
      <c r="G373" s="5" t="s">
        <v>740</v>
      </c>
      <c r="H373" s="5" t="s">
        <v>71</v>
      </c>
      <c r="I373" s="5"/>
      <c r="J373" s="5"/>
      <c r="K373" s="7" t="s">
        <v>1033</v>
      </c>
    </row>
    <row r="374" customFormat="false" ht="15" hidden="false" customHeight="false" outlineLevel="0" collapsed="false">
      <c r="A374" s="5" t="s">
        <v>565</v>
      </c>
      <c r="B374" s="5"/>
      <c r="C374" s="5" t="s">
        <v>1208</v>
      </c>
      <c r="D374" s="5"/>
      <c r="E374" s="5"/>
      <c r="F374" s="5" t="n">
        <v>0</v>
      </c>
      <c r="G374" s="5" t="s">
        <v>740</v>
      </c>
      <c r="H374" s="5" t="s">
        <v>71</v>
      </c>
      <c r="I374" s="5"/>
      <c r="J374" s="5"/>
      <c r="K374" s="7" t="s">
        <v>1033</v>
      </c>
    </row>
    <row r="375" customFormat="false" ht="15" hidden="false" customHeight="false" outlineLevel="0" collapsed="false">
      <c r="A375" s="5" t="s">
        <v>565</v>
      </c>
      <c r="B375" s="5"/>
      <c r="C375" s="5" t="s">
        <v>1209</v>
      </c>
      <c r="D375" s="5"/>
      <c r="E375" s="5"/>
      <c r="F375" s="5" t="n">
        <v>0</v>
      </c>
      <c r="G375" s="5" t="s">
        <v>740</v>
      </c>
      <c r="H375" s="5" t="s">
        <v>71</v>
      </c>
      <c r="I375" s="5"/>
      <c r="J375" s="5"/>
      <c r="K375" s="7" t="s">
        <v>1033</v>
      </c>
    </row>
    <row r="376" customFormat="false" ht="15" hidden="false" customHeight="false" outlineLevel="0" collapsed="false">
      <c r="A376" s="5" t="s">
        <v>565</v>
      </c>
      <c r="B376" s="5"/>
      <c r="C376" s="5" t="s">
        <v>1210</v>
      </c>
      <c r="D376" s="5"/>
      <c r="E376" s="5"/>
      <c r="F376" s="5" t="n">
        <v>0</v>
      </c>
      <c r="G376" s="5" t="s">
        <v>740</v>
      </c>
      <c r="H376" s="5" t="s">
        <v>71</v>
      </c>
      <c r="I376" s="5"/>
      <c r="J376" s="5"/>
      <c r="K376" s="7" t="s">
        <v>1033</v>
      </c>
    </row>
    <row r="377" customFormat="false" ht="15" hidden="false" customHeight="false" outlineLevel="0" collapsed="false">
      <c r="A377" s="5" t="s">
        <v>565</v>
      </c>
      <c r="B377" s="5"/>
      <c r="C377" s="5" t="s">
        <v>1211</v>
      </c>
      <c r="D377" s="5"/>
      <c r="E377" s="5"/>
      <c r="F377" s="5" t="n">
        <v>0</v>
      </c>
      <c r="G377" s="5" t="s">
        <v>740</v>
      </c>
      <c r="H377" s="5" t="s">
        <v>71</v>
      </c>
      <c r="I377" s="5"/>
      <c r="J377" s="5"/>
      <c r="K377" s="7" t="s">
        <v>1033</v>
      </c>
    </row>
    <row r="378" customFormat="false" ht="15" hidden="false" customHeight="false" outlineLevel="0" collapsed="false">
      <c r="A378" s="5" t="s">
        <v>565</v>
      </c>
      <c r="B378" s="5"/>
      <c r="C378" s="5" t="s">
        <v>1212</v>
      </c>
      <c r="D378" s="5"/>
      <c r="E378" s="5"/>
      <c r="F378" s="5" t="n">
        <v>0</v>
      </c>
      <c r="G378" s="5" t="s">
        <v>740</v>
      </c>
      <c r="H378" s="5" t="s">
        <v>71</v>
      </c>
      <c r="I378" s="5"/>
      <c r="J378" s="5"/>
      <c r="K378" s="7" t="s">
        <v>1033</v>
      </c>
    </row>
    <row r="379" customFormat="false" ht="15" hidden="false" customHeight="false" outlineLevel="0" collapsed="false">
      <c r="A379" s="5" t="s">
        <v>565</v>
      </c>
      <c r="B379" s="5"/>
      <c r="C379" s="5" t="s">
        <v>1213</v>
      </c>
      <c r="D379" s="5"/>
      <c r="E379" s="5"/>
      <c r="F379" s="5" t="n">
        <v>0</v>
      </c>
      <c r="G379" s="5" t="s">
        <v>740</v>
      </c>
      <c r="H379" s="5" t="s">
        <v>71</v>
      </c>
      <c r="I379" s="5"/>
      <c r="J379" s="5"/>
      <c r="K379" s="7" t="s">
        <v>1033</v>
      </c>
    </row>
    <row r="380" customFormat="false" ht="15" hidden="false" customHeight="false" outlineLevel="0" collapsed="false">
      <c r="A380" s="5" t="s">
        <v>565</v>
      </c>
      <c r="B380" s="5"/>
      <c r="C380" s="5" t="s">
        <v>1214</v>
      </c>
      <c r="D380" s="5"/>
      <c r="E380" s="5"/>
      <c r="F380" s="5" t="n">
        <v>0</v>
      </c>
      <c r="G380" s="5" t="s">
        <v>740</v>
      </c>
      <c r="H380" s="5" t="s">
        <v>71</v>
      </c>
      <c r="I380" s="5"/>
      <c r="J380" s="5"/>
      <c r="K380" s="7" t="s">
        <v>1033</v>
      </c>
    </row>
    <row r="381" customFormat="false" ht="15" hidden="false" customHeight="false" outlineLevel="0" collapsed="false">
      <c r="A381" s="5" t="s">
        <v>565</v>
      </c>
      <c r="B381" s="5"/>
      <c r="C381" s="5" t="s">
        <v>1215</v>
      </c>
      <c r="D381" s="5"/>
      <c r="E381" s="5"/>
      <c r="F381" s="5" t="n">
        <v>0</v>
      </c>
      <c r="G381" s="5" t="s">
        <v>740</v>
      </c>
      <c r="H381" s="5" t="s">
        <v>71</v>
      </c>
      <c r="I381" s="5"/>
      <c r="J381" s="5"/>
      <c r="K381" s="7" t="s">
        <v>1033</v>
      </c>
    </row>
    <row r="382" customFormat="false" ht="15" hidden="false" customHeight="false" outlineLevel="0" collapsed="false">
      <c r="A382" s="5" t="s">
        <v>565</v>
      </c>
      <c r="B382" s="5"/>
      <c r="C382" s="5" t="s">
        <v>1216</v>
      </c>
      <c r="D382" s="5"/>
      <c r="E382" s="5"/>
      <c r="F382" s="5" t="n">
        <v>0</v>
      </c>
      <c r="G382" s="5" t="s">
        <v>740</v>
      </c>
      <c r="H382" s="5" t="s">
        <v>71</v>
      </c>
      <c r="I382" s="5"/>
      <c r="J382" s="5"/>
      <c r="K382" s="7" t="s">
        <v>1033</v>
      </c>
    </row>
    <row r="383" customFormat="false" ht="15" hidden="false" customHeight="false" outlineLevel="0" collapsed="false">
      <c r="A383" s="5" t="s">
        <v>565</v>
      </c>
      <c r="B383" s="5"/>
      <c r="C383" s="5" t="s">
        <v>1217</v>
      </c>
      <c r="D383" s="5"/>
      <c r="E383" s="5"/>
      <c r="F383" s="5" t="n">
        <v>0</v>
      </c>
      <c r="G383" s="5" t="s">
        <v>740</v>
      </c>
      <c r="H383" s="5" t="s">
        <v>71</v>
      </c>
      <c r="I383" s="5"/>
      <c r="J383" s="5"/>
      <c r="K383" s="7" t="s">
        <v>1033</v>
      </c>
    </row>
    <row r="384" customFormat="false" ht="15" hidden="false" customHeight="false" outlineLevel="0" collapsed="false">
      <c r="A384" s="5" t="s">
        <v>565</v>
      </c>
      <c r="B384" s="5"/>
      <c r="C384" s="5" t="s">
        <v>1218</v>
      </c>
      <c r="D384" s="5"/>
      <c r="E384" s="5"/>
      <c r="F384" s="5" t="n">
        <v>0</v>
      </c>
      <c r="G384" s="5" t="s">
        <v>740</v>
      </c>
      <c r="H384" s="5" t="s">
        <v>71</v>
      </c>
      <c r="I384" s="5"/>
      <c r="J384" s="5"/>
      <c r="K384" s="7" t="s">
        <v>1033</v>
      </c>
    </row>
    <row r="385" customFormat="false" ht="15" hidden="false" customHeight="false" outlineLevel="0" collapsed="false">
      <c r="A385" s="5" t="s">
        <v>565</v>
      </c>
      <c r="B385" s="5"/>
      <c r="C385" s="5" t="s">
        <v>1219</v>
      </c>
      <c r="D385" s="5"/>
      <c r="E385" s="5"/>
      <c r="F385" s="5" t="n">
        <v>0</v>
      </c>
      <c r="G385" s="5" t="s">
        <v>740</v>
      </c>
      <c r="H385" s="5" t="s">
        <v>71</v>
      </c>
      <c r="I385" s="5"/>
      <c r="J385" s="5"/>
      <c r="K385" s="7" t="s">
        <v>1033</v>
      </c>
    </row>
    <row r="386" customFormat="false" ht="15" hidden="false" customHeight="false" outlineLevel="0" collapsed="false">
      <c r="A386" s="5" t="s">
        <v>565</v>
      </c>
      <c r="B386" s="5"/>
      <c r="C386" s="5" t="s">
        <v>1220</v>
      </c>
      <c r="D386" s="5"/>
      <c r="E386" s="5"/>
      <c r="F386" s="5" t="n">
        <v>0</v>
      </c>
      <c r="G386" s="5" t="s">
        <v>740</v>
      </c>
      <c r="H386" s="5" t="s">
        <v>71</v>
      </c>
      <c r="I386" s="5"/>
      <c r="J386" s="5"/>
      <c r="K386" s="7" t="s">
        <v>1033</v>
      </c>
    </row>
    <row r="387" customFormat="false" ht="15" hidden="false" customHeight="false" outlineLevel="0" collapsed="false">
      <c r="A387" s="5" t="s">
        <v>565</v>
      </c>
      <c r="B387" s="5"/>
      <c r="C387" s="5" t="s">
        <v>1221</v>
      </c>
      <c r="D387" s="5"/>
      <c r="E387" s="5"/>
      <c r="F387" s="5" t="n">
        <v>0</v>
      </c>
      <c r="G387" s="5" t="s">
        <v>740</v>
      </c>
      <c r="H387" s="5" t="s">
        <v>71</v>
      </c>
      <c r="I387" s="5"/>
      <c r="J387" s="5"/>
      <c r="K387" s="7" t="s">
        <v>1033</v>
      </c>
    </row>
    <row r="388" customFormat="false" ht="15" hidden="false" customHeight="false" outlineLevel="0" collapsed="false">
      <c r="A388" s="5" t="s">
        <v>565</v>
      </c>
      <c r="B388" s="5"/>
      <c r="C388" s="5" t="s">
        <v>1222</v>
      </c>
      <c r="D388" s="5"/>
      <c r="E388" s="5"/>
      <c r="F388" s="5" t="n">
        <v>0</v>
      </c>
      <c r="G388" s="5" t="s">
        <v>740</v>
      </c>
      <c r="H388" s="5" t="s">
        <v>71</v>
      </c>
      <c r="I388" s="5"/>
      <c r="J388" s="5"/>
      <c r="K388" s="7" t="s">
        <v>1033</v>
      </c>
    </row>
    <row r="389" customFormat="false" ht="15" hidden="false" customHeight="false" outlineLevel="0" collapsed="false">
      <c r="A389" s="5" t="s">
        <v>565</v>
      </c>
      <c r="B389" s="5"/>
      <c r="C389" s="5" t="s">
        <v>1223</v>
      </c>
      <c r="D389" s="5"/>
      <c r="E389" s="5"/>
      <c r="F389" s="5" t="n">
        <v>0</v>
      </c>
      <c r="G389" s="5" t="s">
        <v>740</v>
      </c>
      <c r="H389" s="5" t="s">
        <v>71</v>
      </c>
      <c r="I389" s="5"/>
      <c r="J389" s="5"/>
      <c r="K389" s="7" t="s">
        <v>1033</v>
      </c>
    </row>
    <row r="390" customFormat="false" ht="15" hidden="false" customHeight="false" outlineLevel="0" collapsed="false">
      <c r="A390" s="5" t="s">
        <v>565</v>
      </c>
      <c r="B390" s="5"/>
      <c r="C390" s="5" t="s">
        <v>1224</v>
      </c>
      <c r="D390" s="5"/>
      <c r="E390" s="5"/>
      <c r="F390" s="5" t="n">
        <v>0</v>
      </c>
      <c r="G390" s="5" t="s">
        <v>740</v>
      </c>
      <c r="H390" s="5" t="s">
        <v>71</v>
      </c>
      <c r="I390" s="5"/>
      <c r="J390" s="5"/>
      <c r="K390" s="7" t="s">
        <v>1033</v>
      </c>
    </row>
    <row r="391" customFormat="false" ht="15" hidden="false" customHeight="false" outlineLevel="0" collapsed="false">
      <c r="A391" s="5" t="s">
        <v>565</v>
      </c>
      <c r="B391" s="5"/>
      <c r="C391" s="5" t="s">
        <v>1225</v>
      </c>
      <c r="D391" s="5"/>
      <c r="E391" s="5"/>
      <c r="F391" s="5" t="n">
        <v>0</v>
      </c>
      <c r="G391" s="5" t="s">
        <v>740</v>
      </c>
      <c r="H391" s="5" t="s">
        <v>71</v>
      </c>
      <c r="I391" s="5"/>
      <c r="J391" s="5"/>
      <c r="K391" s="7" t="s">
        <v>1033</v>
      </c>
    </row>
    <row r="392" customFormat="false" ht="15" hidden="false" customHeight="false" outlineLevel="0" collapsed="false">
      <c r="A392" s="5" t="s">
        <v>565</v>
      </c>
      <c r="B392" s="5"/>
      <c r="C392" s="5" t="s">
        <v>1226</v>
      </c>
      <c r="D392" s="5"/>
      <c r="E392" s="5"/>
      <c r="F392" s="5" t="n">
        <v>0</v>
      </c>
      <c r="G392" s="5" t="s">
        <v>740</v>
      </c>
      <c r="H392" s="5" t="s">
        <v>71</v>
      </c>
      <c r="I392" s="5"/>
      <c r="J392" s="5"/>
      <c r="K392" s="7" t="s">
        <v>1033</v>
      </c>
    </row>
    <row r="393" customFormat="false" ht="15" hidden="false" customHeight="false" outlineLevel="0" collapsed="false">
      <c r="A393" s="5" t="s">
        <v>565</v>
      </c>
      <c r="B393" s="5"/>
      <c r="C393" s="5" t="s">
        <v>1227</v>
      </c>
      <c r="D393" s="5"/>
      <c r="E393" s="5"/>
      <c r="F393" s="5" t="n">
        <v>0</v>
      </c>
      <c r="G393" s="5" t="s">
        <v>740</v>
      </c>
      <c r="H393" s="5" t="s">
        <v>71</v>
      </c>
      <c r="I393" s="5"/>
      <c r="J393" s="5"/>
      <c r="K393" s="7" t="s">
        <v>1033</v>
      </c>
    </row>
    <row r="394" customFormat="false" ht="23.85" hidden="false" customHeight="false" outlineLevel="0" collapsed="false">
      <c r="A394" s="5" t="s">
        <v>565</v>
      </c>
      <c r="B394" s="5"/>
      <c r="C394" s="5" t="s">
        <v>1228</v>
      </c>
      <c r="D394" s="5" t="s">
        <v>1229</v>
      </c>
      <c r="E394" s="5" t="s">
        <v>1230</v>
      </c>
      <c r="F394" s="5" t="n">
        <v>1</v>
      </c>
      <c r="G394" s="5" t="s">
        <v>740</v>
      </c>
      <c r="H394" s="5" t="s">
        <v>71</v>
      </c>
      <c r="I394" s="5"/>
      <c r="J394" s="5"/>
      <c r="K394" s="5"/>
    </row>
    <row r="395" customFormat="false" ht="15" hidden="false" customHeight="false" outlineLevel="0" collapsed="false">
      <c r="A395" s="5" t="s">
        <v>565</v>
      </c>
      <c r="B395" s="5"/>
      <c r="C395" s="5" t="s">
        <v>1231</v>
      </c>
      <c r="D395" s="5"/>
      <c r="E395" s="5"/>
      <c r="F395" s="5" t="n">
        <v>0</v>
      </c>
      <c r="G395" s="5" t="s">
        <v>740</v>
      </c>
      <c r="H395" s="5" t="s">
        <v>71</v>
      </c>
      <c r="I395" s="5"/>
      <c r="J395" s="5"/>
      <c r="K395" s="7" t="s">
        <v>1033</v>
      </c>
    </row>
    <row r="396" customFormat="false" ht="15" hidden="false" customHeight="false" outlineLevel="0" collapsed="false">
      <c r="A396" s="5" t="s">
        <v>565</v>
      </c>
      <c r="B396" s="5"/>
      <c r="C396" s="5" t="s">
        <v>1232</v>
      </c>
      <c r="D396" s="5"/>
      <c r="E396" s="5"/>
      <c r="F396" s="5" t="n">
        <v>0</v>
      </c>
      <c r="G396" s="5" t="s">
        <v>740</v>
      </c>
      <c r="H396" s="5" t="s">
        <v>71</v>
      </c>
      <c r="I396" s="5"/>
      <c r="J396" s="5"/>
      <c r="K396" s="7" t="s">
        <v>1033</v>
      </c>
    </row>
    <row r="397" customFormat="false" ht="15" hidden="false" customHeight="false" outlineLevel="0" collapsed="false">
      <c r="A397" s="5" t="s">
        <v>565</v>
      </c>
      <c r="B397" s="5"/>
      <c r="C397" s="5" t="s">
        <v>1233</v>
      </c>
      <c r="D397" s="5" t="s">
        <v>1234</v>
      </c>
      <c r="E397" s="5" t="s">
        <v>1235</v>
      </c>
      <c r="F397" s="5" t="n">
        <v>1</v>
      </c>
      <c r="G397" s="5" t="s">
        <v>740</v>
      </c>
      <c r="H397" s="5" t="s">
        <v>71</v>
      </c>
      <c r="I397" s="5"/>
      <c r="J397" s="5"/>
      <c r="K397" s="5"/>
    </row>
    <row r="398" customFormat="false" ht="15" hidden="false" customHeight="false" outlineLevel="0" collapsed="false">
      <c r="A398" s="5" t="s">
        <v>565</v>
      </c>
      <c r="B398" s="5"/>
      <c r="C398" s="5" t="s">
        <v>1236</v>
      </c>
      <c r="D398" s="5"/>
      <c r="E398" s="5"/>
      <c r="F398" s="5" t="n">
        <v>0</v>
      </c>
      <c r="G398" s="5" t="s">
        <v>740</v>
      </c>
      <c r="H398" s="5" t="s">
        <v>71</v>
      </c>
      <c r="I398" s="5"/>
      <c r="J398" s="5"/>
      <c r="K398" s="7" t="s">
        <v>1033</v>
      </c>
    </row>
    <row r="399" customFormat="false" ht="15" hidden="false" customHeight="false" outlineLevel="0" collapsed="false">
      <c r="A399" s="5" t="s">
        <v>565</v>
      </c>
      <c r="B399" s="5"/>
      <c r="C399" s="5" t="s">
        <v>1237</v>
      </c>
      <c r="D399" s="5"/>
      <c r="E399" s="5"/>
      <c r="F399" s="5" t="n">
        <v>0</v>
      </c>
      <c r="G399" s="5" t="s">
        <v>740</v>
      </c>
      <c r="H399" s="5" t="s">
        <v>71</v>
      </c>
      <c r="I399" s="5"/>
      <c r="J399" s="5"/>
      <c r="K399" s="7" t="s">
        <v>1033</v>
      </c>
    </row>
    <row r="400" customFormat="false" ht="23.85" hidden="false" customHeight="false" outlineLevel="0" collapsed="false">
      <c r="A400" s="5" t="s">
        <v>565</v>
      </c>
      <c r="B400" s="5"/>
      <c r="C400" s="5" t="s">
        <v>1238</v>
      </c>
      <c r="D400" s="5" t="s">
        <v>1239</v>
      </c>
      <c r="E400" s="5" t="s">
        <v>1240</v>
      </c>
      <c r="F400" s="5" t="n">
        <v>1</v>
      </c>
      <c r="G400" s="5" t="s">
        <v>740</v>
      </c>
      <c r="H400" s="5" t="s">
        <v>71</v>
      </c>
      <c r="I400" s="5"/>
      <c r="J400" s="5"/>
      <c r="K400" s="5"/>
    </row>
    <row r="401" customFormat="false" ht="15" hidden="false" customHeight="false" outlineLevel="0" collapsed="false">
      <c r="A401" s="5" t="s">
        <v>565</v>
      </c>
      <c r="B401" s="5"/>
      <c r="C401" s="5" t="s">
        <v>1241</v>
      </c>
      <c r="D401" s="5" t="s">
        <v>1242</v>
      </c>
      <c r="E401" s="5" t="s">
        <v>1243</v>
      </c>
      <c r="F401" s="5" t="n">
        <v>2</v>
      </c>
      <c r="G401" s="5" t="s">
        <v>740</v>
      </c>
      <c r="H401" s="5" t="s">
        <v>71</v>
      </c>
      <c r="I401" s="5"/>
      <c r="J401" s="5"/>
      <c r="K401" s="5"/>
    </row>
    <row r="402" customFormat="false" ht="23.85" hidden="false" customHeight="false" outlineLevel="0" collapsed="false">
      <c r="A402" s="5" t="s">
        <v>565</v>
      </c>
      <c r="B402" s="5"/>
      <c r="C402" s="5" t="s">
        <v>1244</v>
      </c>
      <c r="D402" s="5" t="s">
        <v>1245</v>
      </c>
      <c r="E402" s="5" t="s">
        <v>1246</v>
      </c>
      <c r="F402" s="5" t="n">
        <v>1</v>
      </c>
      <c r="G402" s="5" t="s">
        <v>740</v>
      </c>
      <c r="H402" s="5" t="s">
        <v>71</v>
      </c>
      <c r="I402" s="5"/>
      <c r="J402" s="5"/>
      <c r="K402" s="5"/>
    </row>
    <row r="403" customFormat="false" ht="15" hidden="false" customHeight="false" outlineLevel="0" collapsed="false">
      <c r="A403" s="5" t="s">
        <v>565</v>
      </c>
      <c r="B403" s="5"/>
      <c r="C403" s="5" t="s">
        <v>1247</v>
      </c>
      <c r="D403" s="5"/>
      <c r="E403" s="5"/>
      <c r="F403" s="5" t="n">
        <v>0</v>
      </c>
      <c r="G403" s="5" t="s">
        <v>740</v>
      </c>
      <c r="H403" s="5" t="s">
        <v>71</v>
      </c>
      <c r="I403" s="5"/>
      <c r="J403" s="5"/>
      <c r="K403" s="7" t="s">
        <v>1033</v>
      </c>
    </row>
    <row r="404" customFormat="false" ht="15" hidden="false" customHeight="false" outlineLevel="0" collapsed="false">
      <c r="A404" s="5" t="s">
        <v>565</v>
      </c>
      <c r="B404" s="5"/>
      <c r="C404" s="5" t="s">
        <v>1248</v>
      </c>
      <c r="D404" s="5"/>
      <c r="E404" s="5"/>
      <c r="F404" s="5" t="n">
        <v>0</v>
      </c>
      <c r="G404" s="5" t="s">
        <v>740</v>
      </c>
      <c r="H404" s="5" t="s">
        <v>71</v>
      </c>
      <c r="I404" s="5"/>
      <c r="J404" s="5"/>
      <c r="K404" s="7" t="s">
        <v>1033</v>
      </c>
    </row>
    <row r="405" customFormat="false" ht="15" hidden="false" customHeight="false" outlineLevel="0" collapsed="false">
      <c r="A405" s="5" t="s">
        <v>565</v>
      </c>
      <c r="B405" s="5"/>
      <c r="C405" s="5" t="s">
        <v>1249</v>
      </c>
      <c r="D405" s="5"/>
      <c r="E405" s="5"/>
      <c r="F405" s="5" t="n">
        <v>0</v>
      </c>
      <c r="G405" s="5" t="s">
        <v>740</v>
      </c>
      <c r="H405" s="5" t="s">
        <v>71</v>
      </c>
      <c r="I405" s="5"/>
      <c r="J405" s="5"/>
      <c r="K405" s="7" t="s">
        <v>1033</v>
      </c>
    </row>
    <row r="406" customFormat="false" ht="15" hidden="false" customHeight="false" outlineLevel="0" collapsed="false">
      <c r="A406" s="5" t="s">
        <v>565</v>
      </c>
      <c r="B406" s="5"/>
      <c r="C406" s="5" t="s">
        <v>1250</v>
      </c>
      <c r="D406" s="5"/>
      <c r="E406" s="5"/>
      <c r="F406" s="5" t="n">
        <v>0</v>
      </c>
      <c r="G406" s="5" t="s">
        <v>740</v>
      </c>
      <c r="H406" s="5" t="s">
        <v>71</v>
      </c>
      <c r="I406" s="5"/>
      <c r="J406" s="5"/>
      <c r="K406" s="7" t="s">
        <v>1033</v>
      </c>
    </row>
    <row r="407" customFormat="false" ht="15" hidden="false" customHeight="false" outlineLevel="0" collapsed="false">
      <c r="A407" s="5" t="s">
        <v>565</v>
      </c>
      <c r="B407" s="5"/>
      <c r="C407" s="5" t="s">
        <v>1251</v>
      </c>
      <c r="D407" s="5"/>
      <c r="E407" s="5"/>
      <c r="F407" s="5" t="n">
        <v>0</v>
      </c>
      <c r="G407" s="5" t="s">
        <v>740</v>
      </c>
      <c r="H407" s="5" t="s">
        <v>71</v>
      </c>
      <c r="I407" s="5"/>
      <c r="J407" s="5"/>
      <c r="K407" s="7" t="s">
        <v>1033</v>
      </c>
    </row>
    <row r="408" customFormat="false" ht="15" hidden="false" customHeight="false" outlineLevel="0" collapsed="false">
      <c r="A408" s="5" t="s">
        <v>565</v>
      </c>
      <c r="B408" s="5"/>
      <c r="C408" s="5" t="s">
        <v>1252</v>
      </c>
      <c r="D408" s="5"/>
      <c r="E408" s="5"/>
      <c r="F408" s="5" t="n">
        <v>0</v>
      </c>
      <c r="G408" s="5" t="s">
        <v>740</v>
      </c>
      <c r="H408" s="5" t="s">
        <v>71</v>
      </c>
      <c r="I408" s="5"/>
      <c r="J408" s="5"/>
      <c r="K408" s="7" t="s">
        <v>1033</v>
      </c>
    </row>
    <row r="409" customFormat="false" ht="15" hidden="false" customHeight="false" outlineLevel="0" collapsed="false">
      <c r="A409" s="5" t="s">
        <v>565</v>
      </c>
      <c r="B409" s="5"/>
      <c r="C409" s="5" t="s">
        <v>1253</v>
      </c>
      <c r="D409" s="5"/>
      <c r="E409" s="5"/>
      <c r="F409" s="5" t="n">
        <v>0</v>
      </c>
      <c r="G409" s="5" t="s">
        <v>740</v>
      </c>
      <c r="H409" s="5" t="s">
        <v>71</v>
      </c>
      <c r="I409" s="5"/>
      <c r="J409" s="5"/>
      <c r="K409" s="7" t="s">
        <v>1033</v>
      </c>
    </row>
    <row r="410" customFormat="false" ht="15" hidden="false" customHeight="false" outlineLevel="0" collapsed="false">
      <c r="A410" s="5" t="s">
        <v>565</v>
      </c>
      <c r="B410" s="5"/>
      <c r="C410" s="5" t="s">
        <v>1254</v>
      </c>
      <c r="D410" s="5"/>
      <c r="E410" s="5"/>
      <c r="F410" s="5" t="n">
        <v>0</v>
      </c>
      <c r="G410" s="5" t="s">
        <v>740</v>
      </c>
      <c r="H410" s="5" t="s">
        <v>71</v>
      </c>
      <c r="I410" s="5"/>
      <c r="J410" s="5"/>
      <c r="K410" s="7" t="s">
        <v>1033</v>
      </c>
    </row>
    <row r="411" customFormat="false" ht="15" hidden="false" customHeight="false" outlineLevel="0" collapsed="false">
      <c r="A411" s="5" t="s">
        <v>565</v>
      </c>
      <c r="B411" s="5"/>
      <c r="C411" s="5" t="s">
        <v>1255</v>
      </c>
      <c r="D411" s="5"/>
      <c r="E411" s="5"/>
      <c r="F411" s="5" t="n">
        <v>0</v>
      </c>
      <c r="G411" s="5" t="s">
        <v>740</v>
      </c>
      <c r="H411" s="5" t="s">
        <v>71</v>
      </c>
      <c r="I411" s="5"/>
      <c r="J411" s="5"/>
      <c r="K411" s="7" t="s">
        <v>1033</v>
      </c>
    </row>
    <row r="412" customFormat="false" ht="15" hidden="false" customHeight="false" outlineLevel="0" collapsed="false">
      <c r="A412" s="5" t="s">
        <v>565</v>
      </c>
      <c r="B412" s="5"/>
      <c r="C412" s="5" t="s">
        <v>1256</v>
      </c>
      <c r="D412" s="5"/>
      <c r="E412" s="5"/>
      <c r="F412" s="5" t="n">
        <v>0</v>
      </c>
      <c r="G412" s="5" t="s">
        <v>740</v>
      </c>
      <c r="H412" s="5" t="s">
        <v>71</v>
      </c>
      <c r="I412" s="5"/>
      <c r="J412" s="5"/>
      <c r="K412" s="7" t="s">
        <v>1033</v>
      </c>
    </row>
    <row r="413" customFormat="false" ht="15" hidden="false" customHeight="false" outlineLevel="0" collapsed="false">
      <c r="A413" s="5" t="s">
        <v>565</v>
      </c>
      <c r="B413" s="5"/>
      <c r="C413" s="5" t="s">
        <v>1257</v>
      </c>
      <c r="D413" s="5"/>
      <c r="E413" s="5"/>
      <c r="F413" s="5" t="n">
        <v>0</v>
      </c>
      <c r="G413" s="5" t="s">
        <v>740</v>
      </c>
      <c r="H413" s="5" t="s">
        <v>71</v>
      </c>
      <c r="I413" s="5"/>
      <c r="J413" s="5"/>
      <c r="K413" s="7" t="s">
        <v>1033</v>
      </c>
    </row>
    <row r="414" customFormat="false" ht="15" hidden="false" customHeight="false" outlineLevel="0" collapsed="false">
      <c r="A414" s="5" t="s">
        <v>565</v>
      </c>
      <c r="B414" s="5"/>
      <c r="C414" s="5" t="s">
        <v>1258</v>
      </c>
      <c r="D414" s="5"/>
      <c r="E414" s="5"/>
      <c r="F414" s="5" t="n">
        <v>0</v>
      </c>
      <c r="G414" s="5" t="s">
        <v>740</v>
      </c>
      <c r="H414" s="5" t="s">
        <v>71</v>
      </c>
      <c r="I414" s="5"/>
      <c r="J414" s="5"/>
      <c r="K414" s="7" t="s">
        <v>1033</v>
      </c>
    </row>
    <row r="415" customFormat="false" ht="15" hidden="false" customHeight="false" outlineLevel="0" collapsed="false">
      <c r="A415" s="5" t="s">
        <v>565</v>
      </c>
      <c r="B415" s="5"/>
      <c r="C415" s="5" t="s">
        <v>1259</v>
      </c>
      <c r="D415" s="5"/>
      <c r="E415" s="5"/>
      <c r="F415" s="5" t="n">
        <v>0</v>
      </c>
      <c r="G415" s="5" t="s">
        <v>740</v>
      </c>
      <c r="H415" s="5" t="s">
        <v>71</v>
      </c>
      <c r="I415" s="5"/>
      <c r="J415" s="5"/>
      <c r="K415" s="7" t="s">
        <v>1033</v>
      </c>
    </row>
    <row r="416" customFormat="false" ht="15" hidden="false" customHeight="false" outlineLevel="0" collapsed="false">
      <c r="A416" s="5" t="s">
        <v>565</v>
      </c>
      <c r="B416" s="5"/>
      <c r="C416" s="5" t="s">
        <v>1260</v>
      </c>
      <c r="D416" s="5"/>
      <c r="E416" s="5"/>
      <c r="F416" s="5" t="n">
        <v>0</v>
      </c>
      <c r="G416" s="5" t="s">
        <v>740</v>
      </c>
      <c r="H416" s="5" t="s">
        <v>71</v>
      </c>
      <c r="I416" s="5"/>
      <c r="J416" s="5"/>
      <c r="K416" s="7" t="s">
        <v>1033</v>
      </c>
    </row>
    <row r="417" customFormat="false" ht="15" hidden="false" customHeight="false" outlineLevel="0" collapsed="false">
      <c r="A417" s="5" t="s">
        <v>565</v>
      </c>
      <c r="B417" s="5"/>
      <c r="C417" s="5" t="s">
        <v>1261</v>
      </c>
      <c r="D417" s="5"/>
      <c r="E417" s="5"/>
      <c r="F417" s="5" t="n">
        <v>0</v>
      </c>
      <c r="G417" s="5" t="s">
        <v>740</v>
      </c>
      <c r="H417" s="5" t="s">
        <v>71</v>
      </c>
      <c r="I417" s="5"/>
      <c r="J417" s="5"/>
      <c r="K417" s="7" t="s">
        <v>1033</v>
      </c>
    </row>
    <row r="418" customFormat="false" ht="15" hidden="false" customHeight="false" outlineLevel="0" collapsed="false">
      <c r="A418" s="5" t="s">
        <v>565</v>
      </c>
      <c r="B418" s="5"/>
      <c r="C418" s="5" t="s">
        <v>1262</v>
      </c>
      <c r="D418" s="5"/>
      <c r="E418" s="5"/>
      <c r="F418" s="5" t="n">
        <v>0</v>
      </c>
      <c r="G418" s="5" t="s">
        <v>740</v>
      </c>
      <c r="H418" s="5" t="s">
        <v>71</v>
      </c>
      <c r="I418" s="5"/>
      <c r="J418" s="5"/>
      <c r="K418" s="7" t="s">
        <v>1033</v>
      </c>
    </row>
    <row r="419" customFormat="false" ht="15" hidden="false" customHeight="false" outlineLevel="0" collapsed="false">
      <c r="A419" s="5" t="s">
        <v>565</v>
      </c>
      <c r="B419" s="5"/>
      <c r="C419" s="5" t="s">
        <v>1263</v>
      </c>
      <c r="D419" s="5"/>
      <c r="E419" s="5"/>
      <c r="F419" s="5" t="n">
        <v>0</v>
      </c>
      <c r="G419" s="5" t="s">
        <v>740</v>
      </c>
      <c r="H419" s="5" t="s">
        <v>71</v>
      </c>
      <c r="I419" s="5"/>
      <c r="J419" s="5"/>
      <c r="K419" s="7" t="s">
        <v>1033</v>
      </c>
    </row>
    <row r="420" customFormat="false" ht="15" hidden="false" customHeight="false" outlineLevel="0" collapsed="false">
      <c r="A420" s="5" t="s">
        <v>565</v>
      </c>
      <c r="B420" s="5"/>
      <c r="C420" s="5" t="s">
        <v>1264</v>
      </c>
      <c r="D420" s="5"/>
      <c r="E420" s="5"/>
      <c r="F420" s="5" t="n">
        <v>0</v>
      </c>
      <c r="G420" s="5" t="s">
        <v>740</v>
      </c>
      <c r="H420" s="5" t="s">
        <v>71</v>
      </c>
      <c r="I420" s="5"/>
      <c r="J420" s="5"/>
      <c r="K420" s="7" t="s">
        <v>1033</v>
      </c>
    </row>
    <row r="421" customFormat="false" ht="15" hidden="false" customHeight="false" outlineLevel="0" collapsed="false">
      <c r="A421" s="5" t="s">
        <v>565</v>
      </c>
      <c r="B421" s="5"/>
      <c r="C421" s="5" t="s">
        <v>1265</v>
      </c>
      <c r="D421" s="5"/>
      <c r="E421" s="5"/>
      <c r="F421" s="5" t="n">
        <v>0</v>
      </c>
      <c r="G421" s="5" t="s">
        <v>740</v>
      </c>
      <c r="H421" s="5" t="s">
        <v>71</v>
      </c>
      <c r="I421" s="5"/>
      <c r="J421" s="5"/>
      <c r="K421" s="7" t="s">
        <v>1033</v>
      </c>
    </row>
    <row r="422" customFormat="false" ht="15" hidden="false" customHeight="false" outlineLevel="0" collapsed="false">
      <c r="A422" s="5" t="s">
        <v>565</v>
      </c>
      <c r="B422" s="5"/>
      <c r="C422" s="5" t="s">
        <v>1266</v>
      </c>
      <c r="D422" s="5"/>
      <c r="E422" s="5"/>
      <c r="F422" s="5" t="n">
        <v>0</v>
      </c>
      <c r="G422" s="5" t="s">
        <v>740</v>
      </c>
      <c r="H422" s="5" t="s">
        <v>71</v>
      </c>
      <c r="I422" s="5"/>
      <c r="J422" s="5"/>
      <c r="K422" s="7" t="s">
        <v>1033</v>
      </c>
    </row>
    <row r="423" customFormat="false" ht="15" hidden="false" customHeight="false" outlineLevel="0" collapsed="false">
      <c r="A423" s="5" t="s">
        <v>565</v>
      </c>
      <c r="B423" s="5"/>
      <c r="C423" s="5" t="s">
        <v>1267</v>
      </c>
      <c r="D423" s="5"/>
      <c r="E423" s="5"/>
      <c r="F423" s="5" t="n">
        <v>0</v>
      </c>
      <c r="G423" s="5" t="s">
        <v>740</v>
      </c>
      <c r="H423" s="5" t="s">
        <v>71</v>
      </c>
      <c r="I423" s="5"/>
      <c r="J423" s="5"/>
      <c r="K423" s="7" t="s">
        <v>1033</v>
      </c>
    </row>
    <row r="424" customFormat="false" ht="15" hidden="false" customHeight="false" outlineLevel="0" collapsed="false">
      <c r="A424" s="5" t="s">
        <v>565</v>
      </c>
      <c r="B424" s="5"/>
      <c r="C424" s="5" t="s">
        <v>1268</v>
      </c>
      <c r="D424" s="5"/>
      <c r="E424" s="5"/>
      <c r="F424" s="5" t="n">
        <v>0</v>
      </c>
      <c r="G424" s="5" t="s">
        <v>740</v>
      </c>
      <c r="H424" s="5" t="s">
        <v>71</v>
      </c>
      <c r="I424" s="5"/>
      <c r="J424" s="5"/>
      <c r="K424" s="7" t="s">
        <v>1033</v>
      </c>
    </row>
    <row r="425" customFormat="false" ht="15" hidden="false" customHeight="false" outlineLevel="0" collapsed="false">
      <c r="A425" s="5" t="s">
        <v>565</v>
      </c>
      <c r="B425" s="5"/>
      <c r="C425" s="5" t="s">
        <v>1269</v>
      </c>
      <c r="D425" s="5"/>
      <c r="E425" s="5"/>
      <c r="F425" s="5" t="n">
        <v>0</v>
      </c>
      <c r="G425" s="5" t="s">
        <v>740</v>
      </c>
      <c r="H425" s="5" t="s">
        <v>71</v>
      </c>
      <c r="I425" s="5"/>
      <c r="J425" s="5"/>
      <c r="K425" s="7" t="s">
        <v>1033</v>
      </c>
    </row>
    <row r="426" customFormat="false" ht="15" hidden="false" customHeight="false" outlineLevel="0" collapsed="false">
      <c r="A426" s="5" t="s">
        <v>565</v>
      </c>
      <c r="B426" s="5"/>
      <c r="C426" s="5" t="s">
        <v>1270</v>
      </c>
      <c r="D426" s="5"/>
      <c r="E426" s="5"/>
      <c r="F426" s="5" t="n">
        <v>0</v>
      </c>
      <c r="G426" s="5" t="s">
        <v>740</v>
      </c>
      <c r="H426" s="5" t="s">
        <v>71</v>
      </c>
      <c r="I426" s="5"/>
      <c r="J426" s="5"/>
      <c r="K426" s="7" t="s">
        <v>1033</v>
      </c>
    </row>
    <row r="427" customFormat="false" ht="15" hidden="false" customHeight="false" outlineLevel="0" collapsed="false">
      <c r="A427" s="5" t="s">
        <v>565</v>
      </c>
      <c r="B427" s="5"/>
      <c r="C427" s="5" t="s">
        <v>1271</v>
      </c>
      <c r="D427" s="5"/>
      <c r="E427" s="5"/>
      <c r="F427" s="5" t="n">
        <v>0</v>
      </c>
      <c r="G427" s="5" t="s">
        <v>740</v>
      </c>
      <c r="H427" s="5" t="s">
        <v>71</v>
      </c>
      <c r="I427" s="5"/>
      <c r="J427" s="5"/>
      <c r="K427" s="7" t="s">
        <v>1033</v>
      </c>
    </row>
    <row r="428" customFormat="false" ht="15" hidden="false" customHeight="false" outlineLevel="0" collapsed="false">
      <c r="A428" s="5" t="s">
        <v>565</v>
      </c>
      <c r="B428" s="5"/>
      <c r="C428" s="5" t="s">
        <v>1272</v>
      </c>
      <c r="D428" s="5"/>
      <c r="E428" s="5"/>
      <c r="F428" s="5" t="n">
        <v>0</v>
      </c>
      <c r="G428" s="5" t="s">
        <v>740</v>
      </c>
      <c r="H428" s="5" t="s">
        <v>71</v>
      </c>
      <c r="I428" s="5"/>
      <c r="J428" s="5"/>
      <c r="K428" s="7" t="s">
        <v>1033</v>
      </c>
    </row>
    <row r="429" customFormat="false" ht="15" hidden="false" customHeight="false" outlineLevel="0" collapsed="false">
      <c r="A429" s="5" t="s">
        <v>565</v>
      </c>
      <c r="B429" s="5"/>
      <c r="C429" s="5" t="s">
        <v>1273</v>
      </c>
      <c r="D429" s="5"/>
      <c r="E429" s="5"/>
      <c r="F429" s="5" t="n">
        <v>0</v>
      </c>
      <c r="G429" s="5" t="s">
        <v>740</v>
      </c>
      <c r="H429" s="5" t="s">
        <v>71</v>
      </c>
      <c r="I429" s="5"/>
      <c r="J429" s="5"/>
      <c r="K429" s="7" t="s">
        <v>1033</v>
      </c>
    </row>
    <row r="430" customFormat="false" ht="15" hidden="false" customHeight="false" outlineLevel="0" collapsed="false">
      <c r="A430" s="5" t="s">
        <v>565</v>
      </c>
      <c r="B430" s="5"/>
      <c r="C430" s="5" t="s">
        <v>1274</v>
      </c>
      <c r="D430" s="5"/>
      <c r="E430" s="5"/>
      <c r="F430" s="5" t="n">
        <v>0</v>
      </c>
      <c r="G430" s="5" t="s">
        <v>740</v>
      </c>
      <c r="H430" s="5" t="s">
        <v>71</v>
      </c>
      <c r="I430" s="5"/>
      <c r="J430" s="5"/>
      <c r="K430" s="7" t="s">
        <v>1033</v>
      </c>
    </row>
    <row r="431" customFormat="false" ht="15" hidden="false" customHeight="false" outlineLevel="0" collapsed="false">
      <c r="A431" s="5" t="s">
        <v>565</v>
      </c>
      <c r="B431" s="5"/>
      <c r="C431" s="5" t="s">
        <v>1275</v>
      </c>
      <c r="D431" s="5"/>
      <c r="E431" s="5"/>
      <c r="F431" s="5" t="n">
        <v>0</v>
      </c>
      <c r="G431" s="5" t="s">
        <v>740</v>
      </c>
      <c r="H431" s="5" t="s">
        <v>71</v>
      </c>
      <c r="I431" s="5"/>
      <c r="J431" s="5"/>
      <c r="K431" s="7" t="s">
        <v>1033</v>
      </c>
    </row>
    <row r="432" customFormat="false" ht="15" hidden="false" customHeight="false" outlineLevel="0" collapsed="false">
      <c r="A432" s="5" t="s">
        <v>565</v>
      </c>
      <c r="B432" s="5"/>
      <c r="C432" s="5" t="s">
        <v>1276</v>
      </c>
      <c r="D432" s="5"/>
      <c r="E432" s="5"/>
      <c r="F432" s="5" t="n">
        <v>0</v>
      </c>
      <c r="G432" s="5" t="s">
        <v>740</v>
      </c>
      <c r="H432" s="5" t="s">
        <v>71</v>
      </c>
      <c r="I432" s="5"/>
      <c r="J432" s="5"/>
      <c r="K432" s="7" t="s">
        <v>1033</v>
      </c>
    </row>
    <row r="433" customFormat="false" ht="15" hidden="false" customHeight="false" outlineLevel="0" collapsed="false">
      <c r="A433" s="5" t="s">
        <v>565</v>
      </c>
      <c r="B433" s="5"/>
      <c r="C433" s="5" t="s">
        <v>1277</v>
      </c>
      <c r="D433" s="5"/>
      <c r="E433" s="5"/>
      <c r="F433" s="5" t="n">
        <v>0</v>
      </c>
      <c r="G433" s="5" t="s">
        <v>740</v>
      </c>
      <c r="H433" s="5" t="s">
        <v>71</v>
      </c>
      <c r="I433" s="5"/>
      <c r="J433" s="5"/>
      <c r="K433" s="7" t="s">
        <v>1033</v>
      </c>
    </row>
    <row r="434" customFormat="false" ht="15" hidden="false" customHeight="false" outlineLevel="0" collapsed="false">
      <c r="A434" s="5" t="s">
        <v>565</v>
      </c>
      <c r="B434" s="5"/>
      <c r="C434" s="5" t="s">
        <v>1278</v>
      </c>
      <c r="D434" s="5"/>
      <c r="E434" s="5"/>
      <c r="F434" s="5" t="n">
        <v>0</v>
      </c>
      <c r="G434" s="5" t="s">
        <v>740</v>
      </c>
      <c r="H434" s="5" t="s">
        <v>71</v>
      </c>
      <c r="I434" s="5"/>
      <c r="J434" s="5"/>
      <c r="K434" s="7" t="s">
        <v>1033</v>
      </c>
    </row>
    <row r="435" customFormat="false" ht="15" hidden="false" customHeight="false" outlineLevel="0" collapsed="false">
      <c r="A435" s="5" t="s">
        <v>565</v>
      </c>
      <c r="B435" s="5"/>
      <c r="C435" s="5" t="s">
        <v>1279</v>
      </c>
      <c r="D435" s="5"/>
      <c r="E435" s="5"/>
      <c r="F435" s="5" t="n">
        <v>0</v>
      </c>
      <c r="G435" s="5" t="s">
        <v>740</v>
      </c>
      <c r="H435" s="5" t="s">
        <v>71</v>
      </c>
      <c r="I435" s="5"/>
      <c r="J435" s="5"/>
      <c r="K435" s="7" t="s">
        <v>1033</v>
      </c>
    </row>
    <row r="436" customFormat="false" ht="15" hidden="false" customHeight="false" outlineLevel="0" collapsed="false">
      <c r="A436" s="5" t="s">
        <v>565</v>
      </c>
      <c r="B436" s="5"/>
      <c r="C436" s="5" t="s">
        <v>1280</v>
      </c>
      <c r="D436" s="5" t="s">
        <v>1281</v>
      </c>
      <c r="E436" s="5" t="s">
        <v>1282</v>
      </c>
      <c r="F436" s="5" t="n">
        <v>1</v>
      </c>
      <c r="G436" s="5" t="s">
        <v>740</v>
      </c>
      <c r="H436" s="5" t="s">
        <v>71</v>
      </c>
      <c r="I436" s="5"/>
      <c r="J436" s="5"/>
      <c r="K436" s="5"/>
    </row>
    <row r="437" customFormat="false" ht="15" hidden="false" customHeight="false" outlineLevel="0" collapsed="false">
      <c r="A437" s="5" t="s">
        <v>565</v>
      </c>
      <c r="B437" s="5"/>
      <c r="C437" s="5" t="s">
        <v>1283</v>
      </c>
      <c r="D437" s="5"/>
      <c r="E437" s="5"/>
      <c r="F437" s="5" t="n">
        <v>0</v>
      </c>
      <c r="G437" s="5" t="s">
        <v>740</v>
      </c>
      <c r="H437" s="5" t="s">
        <v>71</v>
      </c>
      <c r="I437" s="5"/>
      <c r="J437" s="5"/>
      <c r="K437" s="7" t="s">
        <v>1033</v>
      </c>
    </row>
    <row r="438" customFormat="false" ht="15" hidden="false" customHeight="false" outlineLevel="0" collapsed="false">
      <c r="A438" s="5" t="s">
        <v>565</v>
      </c>
      <c r="B438" s="5"/>
      <c r="C438" s="5" t="s">
        <v>1284</v>
      </c>
      <c r="D438" s="5"/>
      <c r="E438" s="5"/>
      <c r="F438" s="5" t="n">
        <v>0</v>
      </c>
      <c r="G438" s="5" t="s">
        <v>740</v>
      </c>
      <c r="H438" s="5" t="s">
        <v>71</v>
      </c>
      <c r="I438" s="5"/>
      <c r="J438" s="5"/>
      <c r="K438" s="7" t="s">
        <v>1033</v>
      </c>
    </row>
    <row r="439" customFormat="false" ht="15" hidden="false" customHeight="false" outlineLevel="0" collapsed="false">
      <c r="A439" s="5" t="s">
        <v>565</v>
      </c>
      <c r="B439" s="5"/>
      <c r="C439" s="5" t="s">
        <v>1285</v>
      </c>
      <c r="D439" s="5"/>
      <c r="E439" s="5"/>
      <c r="F439" s="5" t="n">
        <v>0</v>
      </c>
      <c r="G439" s="5" t="s">
        <v>740</v>
      </c>
      <c r="H439" s="5" t="s">
        <v>71</v>
      </c>
      <c r="I439" s="5"/>
      <c r="J439" s="5"/>
      <c r="K439" s="7" t="s">
        <v>1033</v>
      </c>
    </row>
    <row r="440" customFormat="false" ht="15" hidden="false" customHeight="false" outlineLevel="0" collapsed="false">
      <c r="A440" s="5" t="s">
        <v>565</v>
      </c>
      <c r="B440" s="5"/>
      <c r="C440" s="5" t="s">
        <v>1286</v>
      </c>
      <c r="D440" s="5"/>
      <c r="E440" s="5"/>
      <c r="F440" s="5" t="n">
        <v>0</v>
      </c>
      <c r="G440" s="5" t="s">
        <v>740</v>
      </c>
      <c r="H440" s="5" t="s">
        <v>71</v>
      </c>
      <c r="I440" s="5"/>
      <c r="J440" s="5"/>
      <c r="K440" s="7" t="s">
        <v>1033</v>
      </c>
    </row>
    <row r="441" customFormat="false" ht="15" hidden="false" customHeight="false" outlineLevel="0" collapsed="false">
      <c r="A441" s="5" t="s">
        <v>565</v>
      </c>
      <c r="B441" s="5"/>
      <c r="C441" s="5" t="s">
        <v>1287</v>
      </c>
      <c r="D441" s="5"/>
      <c r="E441" s="5"/>
      <c r="F441" s="5" t="n">
        <v>0</v>
      </c>
      <c r="G441" s="5" t="s">
        <v>740</v>
      </c>
      <c r="H441" s="5" t="s">
        <v>71</v>
      </c>
      <c r="I441" s="5"/>
      <c r="J441" s="5"/>
      <c r="K441" s="7" t="s">
        <v>1033</v>
      </c>
    </row>
    <row r="442" customFormat="false" ht="15" hidden="false" customHeight="false" outlineLevel="0" collapsed="false">
      <c r="A442" s="5" t="s">
        <v>565</v>
      </c>
      <c r="B442" s="5"/>
      <c r="C442" s="5" t="s">
        <v>1288</v>
      </c>
      <c r="D442" s="5"/>
      <c r="E442" s="5"/>
      <c r="F442" s="5" t="n">
        <v>0</v>
      </c>
      <c r="G442" s="5" t="s">
        <v>740</v>
      </c>
      <c r="H442" s="5" t="s">
        <v>71</v>
      </c>
      <c r="I442" s="5"/>
      <c r="J442" s="5"/>
      <c r="K442" s="7" t="s">
        <v>1033</v>
      </c>
    </row>
    <row r="443" customFormat="false" ht="15" hidden="false" customHeight="false" outlineLevel="0" collapsed="false">
      <c r="A443" s="5" t="s">
        <v>565</v>
      </c>
      <c r="B443" s="5"/>
      <c r="C443" s="5" t="s">
        <v>1289</v>
      </c>
      <c r="D443" s="5"/>
      <c r="E443" s="5"/>
      <c r="F443" s="5" t="n">
        <v>0</v>
      </c>
      <c r="G443" s="5" t="s">
        <v>740</v>
      </c>
      <c r="H443" s="5" t="s">
        <v>71</v>
      </c>
      <c r="I443" s="5"/>
      <c r="J443" s="5"/>
      <c r="K443" s="7" t="s">
        <v>1033</v>
      </c>
    </row>
    <row r="444" customFormat="false" ht="15" hidden="false" customHeight="false" outlineLevel="0" collapsed="false">
      <c r="A444" s="5" t="s">
        <v>565</v>
      </c>
      <c r="B444" s="5"/>
      <c r="C444" s="5" t="s">
        <v>1290</v>
      </c>
      <c r="D444" s="5"/>
      <c r="E444" s="5"/>
      <c r="F444" s="5" t="n">
        <v>0</v>
      </c>
      <c r="G444" s="5" t="s">
        <v>740</v>
      </c>
      <c r="H444" s="5" t="s">
        <v>71</v>
      </c>
      <c r="I444" s="5"/>
      <c r="J444" s="5"/>
      <c r="K444" s="7" t="s">
        <v>1033</v>
      </c>
    </row>
    <row r="445" customFormat="false" ht="15" hidden="false" customHeight="false" outlineLevel="0" collapsed="false">
      <c r="A445" s="5" t="s">
        <v>565</v>
      </c>
      <c r="B445" s="5"/>
      <c r="C445" s="5" t="s">
        <v>1291</v>
      </c>
      <c r="D445" s="5"/>
      <c r="E445" s="5"/>
      <c r="F445" s="5" t="n">
        <v>0</v>
      </c>
      <c r="G445" s="5" t="s">
        <v>740</v>
      </c>
      <c r="H445" s="5" t="s">
        <v>71</v>
      </c>
      <c r="I445" s="5"/>
      <c r="J445" s="5"/>
      <c r="K445" s="7" t="s">
        <v>1033</v>
      </c>
    </row>
    <row r="446" customFormat="false" ht="15" hidden="false" customHeight="false" outlineLevel="0" collapsed="false">
      <c r="A446" s="5" t="s">
        <v>565</v>
      </c>
      <c r="B446" s="5"/>
      <c r="C446" s="5" t="s">
        <v>1292</v>
      </c>
      <c r="D446" s="5"/>
      <c r="E446" s="5"/>
      <c r="F446" s="5" t="n">
        <v>0</v>
      </c>
      <c r="G446" s="5" t="s">
        <v>740</v>
      </c>
      <c r="H446" s="5" t="s">
        <v>71</v>
      </c>
      <c r="I446" s="5"/>
      <c r="J446" s="5"/>
      <c r="K446" s="7" t="s">
        <v>1033</v>
      </c>
    </row>
    <row r="447" customFormat="false" ht="15" hidden="false" customHeight="false" outlineLevel="0" collapsed="false">
      <c r="A447" s="5" t="s">
        <v>565</v>
      </c>
      <c r="B447" s="5"/>
      <c r="C447" s="5" t="s">
        <v>1293</v>
      </c>
      <c r="D447" s="5"/>
      <c r="E447" s="5"/>
      <c r="F447" s="5" t="n">
        <v>0</v>
      </c>
      <c r="G447" s="5" t="s">
        <v>740</v>
      </c>
      <c r="H447" s="5" t="s">
        <v>71</v>
      </c>
      <c r="I447" s="5"/>
      <c r="J447" s="5"/>
      <c r="K447" s="7" t="s">
        <v>1033</v>
      </c>
    </row>
    <row r="448" customFormat="false" ht="15" hidden="false" customHeight="false" outlineLevel="0" collapsed="false">
      <c r="A448" s="5" t="s">
        <v>565</v>
      </c>
      <c r="B448" s="5"/>
      <c r="C448" s="5" t="s">
        <v>1294</v>
      </c>
      <c r="D448" s="5"/>
      <c r="E448" s="5"/>
      <c r="F448" s="5" t="n">
        <v>0</v>
      </c>
      <c r="G448" s="5" t="s">
        <v>740</v>
      </c>
      <c r="H448" s="5" t="s">
        <v>71</v>
      </c>
      <c r="I448" s="5"/>
      <c r="J448" s="5"/>
      <c r="K448" s="7" t="s">
        <v>1033</v>
      </c>
    </row>
    <row r="449" customFormat="false" ht="15" hidden="false" customHeight="false" outlineLevel="0" collapsed="false">
      <c r="A449" s="5" t="s">
        <v>565</v>
      </c>
      <c r="B449" s="5"/>
      <c r="C449" s="5" t="s">
        <v>1295</v>
      </c>
      <c r="D449" s="5"/>
      <c r="E449" s="5"/>
      <c r="F449" s="5" t="n">
        <v>0</v>
      </c>
      <c r="G449" s="5" t="s">
        <v>740</v>
      </c>
      <c r="H449" s="5" t="s">
        <v>71</v>
      </c>
      <c r="I449" s="5"/>
      <c r="J449" s="5"/>
      <c r="K449" s="7" t="s">
        <v>1033</v>
      </c>
    </row>
    <row r="450" customFormat="false" ht="15" hidden="false" customHeight="false" outlineLevel="0" collapsed="false">
      <c r="A450" s="5" t="s">
        <v>565</v>
      </c>
      <c r="B450" s="5"/>
      <c r="C450" s="5" t="s">
        <v>1296</v>
      </c>
      <c r="D450" s="5"/>
      <c r="E450" s="5"/>
      <c r="F450" s="5" t="n">
        <v>0</v>
      </c>
      <c r="G450" s="5" t="s">
        <v>740</v>
      </c>
      <c r="H450" s="5" t="s">
        <v>71</v>
      </c>
      <c r="I450" s="5"/>
      <c r="J450" s="5"/>
      <c r="K450" s="7" t="s">
        <v>1033</v>
      </c>
    </row>
    <row r="451" customFormat="false" ht="15" hidden="false" customHeight="false" outlineLevel="0" collapsed="false">
      <c r="A451" s="5" t="s">
        <v>565</v>
      </c>
      <c r="B451" s="5"/>
      <c r="C451" s="5" t="s">
        <v>1297</v>
      </c>
      <c r="D451" s="5"/>
      <c r="E451" s="5"/>
      <c r="F451" s="5" t="n">
        <v>0</v>
      </c>
      <c r="G451" s="5" t="s">
        <v>740</v>
      </c>
      <c r="H451" s="5" t="s">
        <v>71</v>
      </c>
      <c r="I451" s="5"/>
      <c r="J451" s="5"/>
      <c r="K451" s="7" t="s">
        <v>1033</v>
      </c>
    </row>
    <row r="452" customFormat="false" ht="15" hidden="false" customHeight="false" outlineLevel="0" collapsed="false">
      <c r="A452" s="5" t="s">
        <v>565</v>
      </c>
      <c r="B452" s="5"/>
      <c r="C452" s="5" t="s">
        <v>1298</v>
      </c>
      <c r="D452" s="5"/>
      <c r="E452" s="5"/>
      <c r="F452" s="5" t="n">
        <v>0</v>
      </c>
      <c r="G452" s="5" t="s">
        <v>740</v>
      </c>
      <c r="H452" s="5" t="s">
        <v>71</v>
      </c>
      <c r="I452" s="5"/>
      <c r="J452" s="5"/>
      <c r="K452" s="7" t="s">
        <v>1033</v>
      </c>
    </row>
    <row r="453" customFormat="false" ht="15" hidden="false" customHeight="false" outlineLevel="0" collapsed="false">
      <c r="A453" s="5" t="s">
        <v>565</v>
      </c>
      <c r="B453" s="5"/>
      <c r="C453" s="5" t="s">
        <v>1299</v>
      </c>
      <c r="D453" s="5"/>
      <c r="E453" s="5"/>
      <c r="F453" s="5" t="n">
        <v>0</v>
      </c>
      <c r="G453" s="5" t="s">
        <v>740</v>
      </c>
      <c r="H453" s="5" t="s">
        <v>71</v>
      </c>
      <c r="I453" s="5"/>
      <c r="J453" s="5"/>
      <c r="K453" s="7" t="s">
        <v>1033</v>
      </c>
    </row>
    <row r="454" customFormat="false" ht="15" hidden="false" customHeight="false" outlineLevel="0" collapsed="false">
      <c r="A454" s="5" t="s">
        <v>565</v>
      </c>
      <c r="B454" s="5"/>
      <c r="C454" s="5" t="s">
        <v>1300</v>
      </c>
      <c r="D454" s="5"/>
      <c r="E454" s="5"/>
      <c r="F454" s="5" t="n">
        <v>0</v>
      </c>
      <c r="G454" s="5" t="s">
        <v>740</v>
      </c>
      <c r="H454" s="5" t="s">
        <v>71</v>
      </c>
      <c r="I454" s="5"/>
      <c r="J454" s="5"/>
      <c r="K454" s="7" t="s">
        <v>1033</v>
      </c>
    </row>
    <row r="455" customFormat="false" ht="15" hidden="false" customHeight="false" outlineLevel="0" collapsed="false">
      <c r="A455" s="5" t="s">
        <v>565</v>
      </c>
      <c r="B455" s="5"/>
      <c r="C455" s="5" t="s">
        <v>1301</v>
      </c>
      <c r="D455" s="5"/>
      <c r="E455" s="5"/>
      <c r="F455" s="5" t="n">
        <v>0</v>
      </c>
      <c r="G455" s="5" t="s">
        <v>740</v>
      </c>
      <c r="H455" s="5" t="s">
        <v>71</v>
      </c>
      <c r="I455" s="5"/>
      <c r="J455" s="5"/>
      <c r="K455" s="7" t="s">
        <v>1033</v>
      </c>
    </row>
    <row r="456" customFormat="false" ht="15" hidden="false" customHeight="false" outlineLevel="0" collapsed="false">
      <c r="A456" s="5" t="s">
        <v>565</v>
      </c>
      <c r="B456" s="5"/>
      <c r="C456" s="5" t="s">
        <v>1302</v>
      </c>
      <c r="D456" s="5"/>
      <c r="E456" s="5"/>
      <c r="F456" s="5" t="n">
        <v>0</v>
      </c>
      <c r="G456" s="5" t="s">
        <v>740</v>
      </c>
      <c r="H456" s="5" t="s">
        <v>71</v>
      </c>
      <c r="I456" s="5"/>
      <c r="J456" s="5"/>
      <c r="K456" s="7" t="s">
        <v>1033</v>
      </c>
    </row>
    <row r="457" customFormat="false" ht="15" hidden="false" customHeight="false" outlineLevel="0" collapsed="false">
      <c r="A457" s="5" t="s">
        <v>565</v>
      </c>
      <c r="B457" s="5"/>
      <c r="C457" s="5" t="s">
        <v>1303</v>
      </c>
      <c r="D457" s="5"/>
      <c r="E457" s="5"/>
      <c r="F457" s="5" t="n">
        <v>0</v>
      </c>
      <c r="G457" s="5" t="s">
        <v>740</v>
      </c>
      <c r="H457" s="5" t="s">
        <v>71</v>
      </c>
      <c r="I457" s="5"/>
      <c r="J457" s="5"/>
      <c r="K457" s="7" t="s">
        <v>1033</v>
      </c>
    </row>
    <row r="458" customFormat="false" ht="15" hidden="false" customHeight="false" outlineLevel="0" collapsed="false">
      <c r="A458" s="5" t="s">
        <v>565</v>
      </c>
      <c r="B458" s="5"/>
      <c r="C458" s="5" t="s">
        <v>1304</v>
      </c>
      <c r="D458" s="5"/>
      <c r="E458" s="5"/>
      <c r="F458" s="5" t="n">
        <v>0</v>
      </c>
      <c r="G458" s="5" t="s">
        <v>740</v>
      </c>
      <c r="H458" s="5" t="s">
        <v>71</v>
      </c>
      <c r="I458" s="5"/>
      <c r="J458" s="5"/>
      <c r="K458" s="7" t="s">
        <v>1033</v>
      </c>
    </row>
    <row r="459" customFormat="false" ht="15" hidden="false" customHeight="false" outlineLevel="0" collapsed="false">
      <c r="A459" s="5" t="s">
        <v>565</v>
      </c>
      <c r="B459" s="5"/>
      <c r="C459" s="5" t="s">
        <v>1305</v>
      </c>
      <c r="D459" s="5"/>
      <c r="E459" s="5"/>
      <c r="F459" s="5" t="n">
        <v>0</v>
      </c>
      <c r="G459" s="5" t="s">
        <v>740</v>
      </c>
      <c r="H459" s="5" t="s">
        <v>71</v>
      </c>
      <c r="I459" s="5"/>
      <c r="J459" s="5"/>
      <c r="K459" s="7" t="s">
        <v>1033</v>
      </c>
    </row>
    <row r="460" customFormat="false" ht="15" hidden="false" customHeight="false" outlineLevel="0" collapsed="false">
      <c r="A460" s="5" t="s">
        <v>565</v>
      </c>
      <c r="B460" s="5"/>
      <c r="C460" s="5" t="s">
        <v>1306</v>
      </c>
      <c r="D460" s="5"/>
      <c r="E460" s="5"/>
      <c r="F460" s="5" t="n">
        <v>0</v>
      </c>
      <c r="G460" s="5" t="s">
        <v>740</v>
      </c>
      <c r="H460" s="5" t="s">
        <v>71</v>
      </c>
      <c r="I460" s="5"/>
      <c r="J460" s="5"/>
      <c r="K460" s="7" t="s">
        <v>1033</v>
      </c>
    </row>
    <row r="461" customFormat="false" ht="15" hidden="false" customHeight="false" outlineLevel="0" collapsed="false">
      <c r="A461" s="5" t="s">
        <v>565</v>
      </c>
      <c r="B461" s="5"/>
      <c r="C461" s="5" t="s">
        <v>1307</v>
      </c>
      <c r="D461" s="5"/>
      <c r="E461" s="5"/>
      <c r="F461" s="5" t="n">
        <v>0</v>
      </c>
      <c r="G461" s="5" t="s">
        <v>740</v>
      </c>
      <c r="H461" s="5" t="s">
        <v>71</v>
      </c>
      <c r="I461" s="5"/>
      <c r="J461" s="5"/>
      <c r="K461" s="7" t="s">
        <v>1033</v>
      </c>
    </row>
    <row r="462" customFormat="false" ht="15" hidden="false" customHeight="false" outlineLevel="0" collapsed="false">
      <c r="A462" s="5" t="s">
        <v>565</v>
      </c>
      <c r="B462" s="5"/>
      <c r="C462" s="5" t="s">
        <v>1308</v>
      </c>
      <c r="D462" s="5"/>
      <c r="E462" s="5"/>
      <c r="F462" s="5" t="n">
        <v>0</v>
      </c>
      <c r="G462" s="5" t="s">
        <v>740</v>
      </c>
      <c r="H462" s="5" t="s">
        <v>71</v>
      </c>
      <c r="I462" s="5"/>
      <c r="J462" s="5"/>
      <c r="K462" s="7" t="s">
        <v>1033</v>
      </c>
    </row>
    <row r="463" customFormat="false" ht="15" hidden="false" customHeight="false" outlineLevel="0" collapsed="false">
      <c r="A463" s="5" t="s">
        <v>565</v>
      </c>
      <c r="B463" s="5"/>
      <c r="C463" s="5" t="s">
        <v>1309</v>
      </c>
      <c r="D463" s="5"/>
      <c r="E463" s="5"/>
      <c r="F463" s="5" t="n">
        <v>0</v>
      </c>
      <c r="G463" s="5" t="s">
        <v>740</v>
      </c>
      <c r="H463" s="5" t="s">
        <v>71</v>
      </c>
      <c r="I463" s="5"/>
      <c r="J463" s="5"/>
      <c r="K463" s="7" t="s">
        <v>1033</v>
      </c>
    </row>
    <row r="464" customFormat="false" ht="15" hidden="false" customHeight="false" outlineLevel="0" collapsed="false">
      <c r="A464" s="5" t="s">
        <v>565</v>
      </c>
      <c r="B464" s="5"/>
      <c r="C464" s="5" t="s">
        <v>1310</v>
      </c>
      <c r="D464" s="5"/>
      <c r="E464" s="5"/>
      <c r="F464" s="5" t="n">
        <v>0</v>
      </c>
      <c r="G464" s="5" t="s">
        <v>740</v>
      </c>
      <c r="H464" s="5" t="s">
        <v>71</v>
      </c>
      <c r="I464" s="5"/>
      <c r="J464" s="5"/>
      <c r="K464" s="7" t="s">
        <v>1033</v>
      </c>
    </row>
    <row r="465" customFormat="false" ht="15" hidden="false" customHeight="false" outlineLevel="0" collapsed="false">
      <c r="A465" s="5" t="s">
        <v>565</v>
      </c>
      <c r="B465" s="5"/>
      <c r="C465" s="5" t="s">
        <v>1311</v>
      </c>
      <c r="D465" s="5"/>
      <c r="E465" s="5"/>
      <c r="F465" s="5" t="n">
        <v>0</v>
      </c>
      <c r="G465" s="5" t="s">
        <v>740</v>
      </c>
      <c r="H465" s="5" t="s">
        <v>71</v>
      </c>
      <c r="I465" s="5"/>
      <c r="J465" s="5"/>
      <c r="K465" s="7" t="s">
        <v>1033</v>
      </c>
    </row>
    <row r="466" customFormat="false" ht="15" hidden="false" customHeight="false" outlineLevel="0" collapsed="false">
      <c r="A466" s="5" t="s">
        <v>565</v>
      </c>
      <c r="B466" s="5"/>
      <c r="C466" s="5" t="s">
        <v>1312</v>
      </c>
      <c r="D466" s="5"/>
      <c r="E466" s="5"/>
      <c r="F466" s="5" t="n">
        <v>0</v>
      </c>
      <c r="G466" s="5" t="s">
        <v>740</v>
      </c>
      <c r="H466" s="5" t="s">
        <v>71</v>
      </c>
      <c r="I466" s="5"/>
      <c r="J466" s="5"/>
      <c r="K466" s="7" t="s">
        <v>1033</v>
      </c>
    </row>
    <row r="467" customFormat="false" ht="15" hidden="false" customHeight="false" outlineLevel="0" collapsed="false">
      <c r="A467" s="5" t="s">
        <v>565</v>
      </c>
      <c r="B467" s="5"/>
      <c r="C467" s="5" t="s">
        <v>1313</v>
      </c>
      <c r="D467" s="5"/>
      <c r="E467" s="5"/>
      <c r="F467" s="5" t="n">
        <v>0</v>
      </c>
      <c r="G467" s="5" t="s">
        <v>740</v>
      </c>
      <c r="H467" s="5" t="s">
        <v>71</v>
      </c>
      <c r="I467" s="5"/>
      <c r="J467" s="5"/>
      <c r="K467" s="7" t="s">
        <v>1033</v>
      </c>
    </row>
    <row r="468" customFormat="false" ht="15" hidden="false" customHeight="false" outlineLevel="0" collapsed="false">
      <c r="A468" s="5" t="s">
        <v>565</v>
      </c>
      <c r="B468" s="5"/>
      <c r="C468" s="5" t="s">
        <v>1314</v>
      </c>
      <c r="D468" s="5"/>
      <c r="E468" s="5"/>
      <c r="F468" s="5" t="n">
        <v>0</v>
      </c>
      <c r="G468" s="5" t="s">
        <v>740</v>
      </c>
      <c r="H468" s="5" t="s">
        <v>71</v>
      </c>
      <c r="I468" s="5"/>
      <c r="J468" s="5"/>
      <c r="K468" s="7" t="s">
        <v>1033</v>
      </c>
    </row>
    <row r="469" customFormat="false" ht="15" hidden="false" customHeight="false" outlineLevel="0" collapsed="false">
      <c r="A469" s="5" t="s">
        <v>565</v>
      </c>
      <c r="B469" s="5"/>
      <c r="C469" s="5" t="s">
        <v>1315</v>
      </c>
      <c r="D469" s="5"/>
      <c r="E469" s="5"/>
      <c r="F469" s="5" t="n">
        <v>0</v>
      </c>
      <c r="G469" s="5" t="s">
        <v>740</v>
      </c>
      <c r="H469" s="5" t="s">
        <v>71</v>
      </c>
      <c r="I469" s="5"/>
      <c r="J469" s="5"/>
      <c r="K469" s="7" t="s">
        <v>1033</v>
      </c>
    </row>
    <row r="470" customFormat="false" ht="15" hidden="false" customHeight="false" outlineLevel="0" collapsed="false">
      <c r="A470" s="5" t="s">
        <v>565</v>
      </c>
      <c r="B470" s="5"/>
      <c r="C470" s="5" t="s">
        <v>1316</v>
      </c>
      <c r="D470" s="5"/>
      <c r="E470" s="5"/>
      <c r="F470" s="5" t="n">
        <v>0</v>
      </c>
      <c r="G470" s="5" t="s">
        <v>740</v>
      </c>
      <c r="H470" s="5" t="s">
        <v>71</v>
      </c>
      <c r="I470" s="5"/>
      <c r="J470" s="5"/>
      <c r="K470" s="7" t="s">
        <v>1033</v>
      </c>
    </row>
    <row r="471" customFormat="false" ht="15" hidden="false" customHeight="false" outlineLevel="0" collapsed="false">
      <c r="A471" s="5" t="s">
        <v>565</v>
      </c>
      <c r="B471" s="5"/>
      <c r="C471" s="5" t="s">
        <v>1317</v>
      </c>
      <c r="D471" s="5"/>
      <c r="E471" s="5"/>
      <c r="F471" s="5" t="n">
        <v>0</v>
      </c>
      <c r="G471" s="5" t="s">
        <v>740</v>
      </c>
      <c r="H471" s="5" t="s">
        <v>71</v>
      </c>
      <c r="I471" s="5"/>
      <c r="J471" s="5"/>
      <c r="K471" s="7" t="s">
        <v>1033</v>
      </c>
    </row>
    <row r="472" customFormat="false" ht="15" hidden="false" customHeight="false" outlineLevel="0" collapsed="false">
      <c r="A472" s="5" t="s">
        <v>565</v>
      </c>
      <c r="B472" s="5"/>
      <c r="C472" s="5" t="s">
        <v>1318</v>
      </c>
      <c r="D472" s="5"/>
      <c r="E472" s="5"/>
      <c r="F472" s="5" t="n">
        <v>0</v>
      </c>
      <c r="G472" s="5" t="s">
        <v>740</v>
      </c>
      <c r="H472" s="5" t="s">
        <v>71</v>
      </c>
      <c r="I472" s="5"/>
      <c r="J472" s="5"/>
      <c r="K472" s="7" t="s">
        <v>1033</v>
      </c>
    </row>
    <row r="473" customFormat="false" ht="15" hidden="false" customHeight="false" outlineLevel="0" collapsed="false">
      <c r="A473" s="5" t="s">
        <v>565</v>
      </c>
      <c r="B473" s="5"/>
      <c r="C473" s="5" t="s">
        <v>1319</v>
      </c>
      <c r="D473" s="5"/>
      <c r="E473" s="5"/>
      <c r="F473" s="5" t="n">
        <v>0</v>
      </c>
      <c r="G473" s="5" t="s">
        <v>740</v>
      </c>
      <c r="H473" s="5" t="s">
        <v>71</v>
      </c>
      <c r="I473" s="5"/>
      <c r="J473" s="5"/>
      <c r="K473" s="7" t="s">
        <v>1033</v>
      </c>
    </row>
    <row r="474" customFormat="false" ht="15" hidden="false" customHeight="false" outlineLevel="0" collapsed="false">
      <c r="A474" s="5" t="s">
        <v>565</v>
      </c>
      <c r="B474" s="5"/>
      <c r="C474" s="5" t="s">
        <v>1320</v>
      </c>
      <c r="D474" s="5"/>
      <c r="E474" s="5"/>
      <c r="F474" s="5" t="n">
        <v>0</v>
      </c>
      <c r="G474" s="5" t="s">
        <v>740</v>
      </c>
      <c r="H474" s="5" t="s">
        <v>71</v>
      </c>
      <c r="I474" s="5"/>
      <c r="J474" s="5"/>
      <c r="K474" s="7" t="s">
        <v>1033</v>
      </c>
    </row>
    <row r="475" customFormat="false" ht="15" hidden="false" customHeight="false" outlineLevel="0" collapsed="false">
      <c r="A475" s="5" t="s">
        <v>565</v>
      </c>
      <c r="B475" s="5"/>
      <c r="C475" s="5" t="s">
        <v>1321</v>
      </c>
      <c r="D475" s="5"/>
      <c r="E475" s="5"/>
      <c r="F475" s="5" t="n">
        <v>0</v>
      </c>
      <c r="G475" s="5" t="s">
        <v>740</v>
      </c>
      <c r="H475" s="5" t="s">
        <v>71</v>
      </c>
      <c r="I475" s="5"/>
      <c r="J475" s="5"/>
      <c r="K475" s="7" t="s">
        <v>1033</v>
      </c>
    </row>
    <row r="476" customFormat="false" ht="15" hidden="false" customHeight="false" outlineLevel="0" collapsed="false">
      <c r="A476" s="5" t="s">
        <v>565</v>
      </c>
      <c r="B476" s="5"/>
      <c r="C476" s="5" t="s">
        <v>1322</v>
      </c>
      <c r="D476" s="5"/>
      <c r="E476" s="5"/>
      <c r="F476" s="5" t="n">
        <v>0</v>
      </c>
      <c r="G476" s="5" t="s">
        <v>740</v>
      </c>
      <c r="H476" s="5" t="s">
        <v>71</v>
      </c>
      <c r="I476" s="5"/>
      <c r="J476" s="5"/>
      <c r="K476" s="7" t="s">
        <v>1033</v>
      </c>
    </row>
    <row r="477" customFormat="false" ht="15" hidden="false" customHeight="false" outlineLevel="0" collapsed="false">
      <c r="A477" s="5" t="s">
        <v>565</v>
      </c>
      <c r="B477" s="5"/>
      <c r="C477" s="5" t="s">
        <v>1323</v>
      </c>
      <c r="D477" s="5"/>
      <c r="E477" s="5"/>
      <c r="F477" s="5" t="n">
        <v>0</v>
      </c>
      <c r="G477" s="5" t="s">
        <v>740</v>
      </c>
      <c r="H477" s="5" t="s">
        <v>71</v>
      </c>
      <c r="I477" s="5"/>
      <c r="J477" s="5"/>
      <c r="K477" s="7" t="s">
        <v>1033</v>
      </c>
    </row>
    <row r="478" customFormat="false" ht="15" hidden="false" customHeight="false" outlineLevel="0" collapsed="false">
      <c r="A478" s="5" t="s">
        <v>565</v>
      </c>
      <c r="B478" s="5"/>
      <c r="C478" s="5" t="s">
        <v>1324</v>
      </c>
      <c r="D478" s="5"/>
      <c r="E478" s="5"/>
      <c r="F478" s="5" t="n">
        <v>0</v>
      </c>
      <c r="G478" s="5" t="s">
        <v>740</v>
      </c>
      <c r="H478" s="5" t="s">
        <v>71</v>
      </c>
      <c r="I478" s="5"/>
      <c r="J478" s="5"/>
      <c r="K478" s="7" t="s">
        <v>1033</v>
      </c>
    </row>
    <row r="479" customFormat="false" ht="15" hidden="false" customHeight="false" outlineLevel="0" collapsed="false">
      <c r="A479" s="5" t="s">
        <v>565</v>
      </c>
      <c r="B479" s="5"/>
      <c r="C479" s="5" t="s">
        <v>1325</v>
      </c>
      <c r="D479" s="5"/>
      <c r="E479" s="5"/>
      <c r="F479" s="5" t="n">
        <v>0</v>
      </c>
      <c r="G479" s="5" t="s">
        <v>740</v>
      </c>
      <c r="H479" s="5" t="s">
        <v>71</v>
      </c>
      <c r="I479" s="5"/>
      <c r="J479" s="5"/>
      <c r="K479" s="7" t="s">
        <v>1033</v>
      </c>
    </row>
    <row r="480" customFormat="false" ht="15" hidden="false" customHeight="false" outlineLevel="0" collapsed="false">
      <c r="A480" s="5" t="s">
        <v>565</v>
      </c>
      <c r="B480" s="5"/>
      <c r="C480" s="5" t="s">
        <v>1326</v>
      </c>
      <c r="D480" s="5"/>
      <c r="E480" s="5"/>
      <c r="F480" s="5" t="n">
        <v>0</v>
      </c>
      <c r="G480" s="5" t="s">
        <v>740</v>
      </c>
      <c r="H480" s="5" t="s">
        <v>71</v>
      </c>
      <c r="I480" s="5"/>
      <c r="J480" s="5"/>
      <c r="K480" s="7" t="s">
        <v>1033</v>
      </c>
    </row>
    <row r="481" customFormat="false" ht="15" hidden="false" customHeight="false" outlineLevel="0" collapsed="false">
      <c r="A481" s="5" t="s">
        <v>565</v>
      </c>
      <c r="B481" s="5"/>
      <c r="C481" s="5" t="s">
        <v>1327</v>
      </c>
      <c r="D481" s="5"/>
      <c r="E481" s="5"/>
      <c r="F481" s="5" t="n">
        <v>0</v>
      </c>
      <c r="G481" s="5" t="s">
        <v>740</v>
      </c>
      <c r="H481" s="5" t="s">
        <v>71</v>
      </c>
      <c r="I481" s="5"/>
      <c r="J481" s="5"/>
      <c r="K481" s="7" t="s">
        <v>1033</v>
      </c>
    </row>
    <row r="482" customFormat="false" ht="15" hidden="false" customHeight="false" outlineLevel="0" collapsed="false">
      <c r="A482" s="5" t="s">
        <v>565</v>
      </c>
      <c r="B482" s="5"/>
      <c r="C482" s="5" t="s">
        <v>1328</v>
      </c>
      <c r="D482" s="5"/>
      <c r="E482" s="5"/>
      <c r="F482" s="5" t="n">
        <v>0</v>
      </c>
      <c r="G482" s="5" t="s">
        <v>740</v>
      </c>
      <c r="H482" s="5" t="s">
        <v>71</v>
      </c>
      <c r="I482" s="5"/>
      <c r="J482" s="5"/>
      <c r="K482" s="7" t="s">
        <v>1033</v>
      </c>
    </row>
    <row r="483" customFormat="false" ht="15" hidden="false" customHeight="false" outlineLevel="0" collapsed="false">
      <c r="A483" s="5" t="s">
        <v>565</v>
      </c>
      <c r="B483" s="5"/>
      <c r="C483" s="5" t="s">
        <v>1329</v>
      </c>
      <c r="D483" s="5"/>
      <c r="E483" s="5"/>
      <c r="F483" s="5" t="n">
        <v>0</v>
      </c>
      <c r="G483" s="5" t="s">
        <v>740</v>
      </c>
      <c r="H483" s="5" t="s">
        <v>71</v>
      </c>
      <c r="I483" s="5"/>
      <c r="J483" s="5"/>
      <c r="K483" s="7" t="s">
        <v>1033</v>
      </c>
    </row>
    <row r="484" customFormat="false" ht="15" hidden="false" customHeight="false" outlineLevel="0" collapsed="false">
      <c r="A484" s="5" t="s">
        <v>565</v>
      </c>
      <c r="B484" s="5"/>
      <c r="C484" s="5" t="s">
        <v>1330</v>
      </c>
      <c r="D484" s="5"/>
      <c r="E484" s="5"/>
      <c r="F484" s="5" t="n">
        <v>0</v>
      </c>
      <c r="G484" s="5" t="s">
        <v>740</v>
      </c>
      <c r="H484" s="5" t="s">
        <v>71</v>
      </c>
      <c r="I484" s="5"/>
      <c r="J484" s="5"/>
      <c r="K484" s="7" t="s">
        <v>1033</v>
      </c>
    </row>
    <row r="485" customFormat="false" ht="15" hidden="false" customHeight="false" outlineLevel="0" collapsed="false">
      <c r="A485" s="5" t="s">
        <v>565</v>
      </c>
      <c r="B485" s="5"/>
      <c r="C485" s="5" t="s">
        <v>1331</v>
      </c>
      <c r="D485" s="5"/>
      <c r="E485" s="5"/>
      <c r="F485" s="5" t="n">
        <v>0</v>
      </c>
      <c r="G485" s="5" t="s">
        <v>740</v>
      </c>
      <c r="H485" s="5" t="s">
        <v>71</v>
      </c>
      <c r="I485" s="5"/>
      <c r="J485" s="5"/>
      <c r="K485" s="7" t="s">
        <v>1033</v>
      </c>
    </row>
    <row r="486" customFormat="false" ht="15" hidden="false" customHeight="false" outlineLevel="0" collapsed="false">
      <c r="A486" s="5" t="s">
        <v>565</v>
      </c>
      <c r="B486" s="5"/>
      <c r="C486" s="5" t="s">
        <v>1332</v>
      </c>
      <c r="D486" s="5"/>
      <c r="E486" s="5"/>
      <c r="F486" s="5" t="n">
        <v>0</v>
      </c>
      <c r="G486" s="5" t="s">
        <v>740</v>
      </c>
      <c r="H486" s="5" t="s">
        <v>71</v>
      </c>
      <c r="I486" s="5"/>
      <c r="J486" s="5"/>
      <c r="K486" s="7" t="s">
        <v>1033</v>
      </c>
    </row>
    <row r="487" customFormat="false" ht="15" hidden="false" customHeight="false" outlineLevel="0" collapsed="false">
      <c r="A487" s="5" t="s">
        <v>565</v>
      </c>
      <c r="B487" s="5"/>
      <c r="C487" s="5" t="s">
        <v>1333</v>
      </c>
      <c r="D487" s="5"/>
      <c r="E487" s="5"/>
      <c r="F487" s="5" t="n">
        <v>0</v>
      </c>
      <c r="G487" s="5" t="s">
        <v>740</v>
      </c>
      <c r="H487" s="5" t="s">
        <v>71</v>
      </c>
      <c r="I487" s="5"/>
      <c r="J487" s="5"/>
      <c r="K487" s="7" t="s">
        <v>1033</v>
      </c>
    </row>
    <row r="488" customFormat="false" ht="15" hidden="false" customHeight="false" outlineLevel="0" collapsed="false">
      <c r="A488" s="5" t="s">
        <v>565</v>
      </c>
      <c r="B488" s="5"/>
      <c r="C488" s="5" t="s">
        <v>1334</v>
      </c>
      <c r="D488" s="5"/>
      <c r="E488" s="5"/>
      <c r="F488" s="5" t="n">
        <v>0</v>
      </c>
      <c r="G488" s="5" t="s">
        <v>740</v>
      </c>
      <c r="H488" s="5" t="s">
        <v>71</v>
      </c>
      <c r="I488" s="5"/>
      <c r="J488" s="5"/>
      <c r="K488" s="7" t="s">
        <v>1033</v>
      </c>
    </row>
    <row r="489" customFormat="false" ht="15" hidden="false" customHeight="false" outlineLevel="0" collapsed="false">
      <c r="A489" s="5" t="s">
        <v>565</v>
      </c>
      <c r="B489" s="5"/>
      <c r="C489" s="5" t="s">
        <v>1335</v>
      </c>
      <c r="D489" s="5"/>
      <c r="E489" s="5"/>
      <c r="F489" s="5" t="n">
        <v>0</v>
      </c>
      <c r="G489" s="5" t="s">
        <v>740</v>
      </c>
      <c r="H489" s="5" t="s">
        <v>71</v>
      </c>
      <c r="I489" s="5"/>
      <c r="J489" s="5"/>
      <c r="K489" s="7" t="s">
        <v>1033</v>
      </c>
    </row>
    <row r="490" customFormat="false" ht="15" hidden="false" customHeight="false" outlineLevel="0" collapsed="false">
      <c r="A490" s="5" t="s">
        <v>565</v>
      </c>
      <c r="B490" s="5"/>
      <c r="C490" s="5" t="s">
        <v>1336</v>
      </c>
      <c r="D490" s="5"/>
      <c r="E490" s="5"/>
      <c r="F490" s="5" t="n">
        <v>0</v>
      </c>
      <c r="G490" s="5" t="s">
        <v>740</v>
      </c>
      <c r="H490" s="5" t="s">
        <v>71</v>
      </c>
      <c r="I490" s="5"/>
      <c r="J490" s="5"/>
      <c r="K490" s="7" t="s">
        <v>1033</v>
      </c>
    </row>
    <row r="491" customFormat="false" ht="15" hidden="false" customHeight="false" outlineLevel="0" collapsed="false">
      <c r="A491" s="5" t="s">
        <v>565</v>
      </c>
      <c r="B491" s="5"/>
      <c r="C491" s="5" t="s">
        <v>1337</v>
      </c>
      <c r="D491" s="5"/>
      <c r="E491" s="5"/>
      <c r="F491" s="5" t="n">
        <v>0</v>
      </c>
      <c r="G491" s="5" t="s">
        <v>740</v>
      </c>
      <c r="H491" s="5" t="s">
        <v>71</v>
      </c>
      <c r="I491" s="5"/>
      <c r="J491" s="5"/>
      <c r="K491" s="7" t="s">
        <v>1033</v>
      </c>
    </row>
    <row r="492" customFormat="false" ht="15" hidden="false" customHeight="false" outlineLevel="0" collapsed="false">
      <c r="A492" s="5" t="s">
        <v>565</v>
      </c>
      <c r="B492" s="5"/>
      <c r="C492" s="5" t="s">
        <v>1338</v>
      </c>
      <c r="D492" s="5"/>
      <c r="E492" s="5"/>
      <c r="F492" s="5" t="n">
        <v>0</v>
      </c>
      <c r="G492" s="5" t="s">
        <v>740</v>
      </c>
      <c r="H492" s="5" t="s">
        <v>71</v>
      </c>
      <c r="I492" s="5"/>
      <c r="J492" s="5"/>
      <c r="K492" s="7" t="s">
        <v>1033</v>
      </c>
    </row>
    <row r="493" customFormat="false" ht="15" hidden="false" customHeight="false" outlineLevel="0" collapsed="false">
      <c r="A493" s="5" t="s">
        <v>565</v>
      </c>
      <c r="B493" s="5"/>
      <c r="C493" s="5" t="s">
        <v>1339</v>
      </c>
      <c r="D493" s="5"/>
      <c r="E493" s="5"/>
      <c r="F493" s="5" t="n">
        <v>0</v>
      </c>
      <c r="G493" s="5" t="s">
        <v>740</v>
      </c>
      <c r="H493" s="5" t="s">
        <v>71</v>
      </c>
      <c r="I493" s="5"/>
      <c r="J493" s="5"/>
      <c r="K493" s="7" t="s">
        <v>1033</v>
      </c>
    </row>
    <row r="494" customFormat="false" ht="15" hidden="false" customHeight="false" outlineLevel="0" collapsed="false">
      <c r="A494" s="5" t="s">
        <v>565</v>
      </c>
      <c r="B494" s="5"/>
      <c r="C494" s="5" t="s">
        <v>1340</v>
      </c>
      <c r="D494" s="5"/>
      <c r="E494" s="5"/>
      <c r="F494" s="5" t="n">
        <v>0</v>
      </c>
      <c r="G494" s="5" t="s">
        <v>740</v>
      </c>
      <c r="H494" s="5" t="s">
        <v>71</v>
      </c>
      <c r="I494" s="5"/>
      <c r="J494" s="5"/>
      <c r="K494" s="7" t="s">
        <v>1033</v>
      </c>
    </row>
    <row r="495" customFormat="false" ht="15" hidden="false" customHeight="false" outlineLevel="0" collapsed="false">
      <c r="A495" s="5" t="s">
        <v>565</v>
      </c>
      <c r="B495" s="5"/>
      <c r="C495" s="5" t="s">
        <v>1341</v>
      </c>
      <c r="D495" s="5"/>
      <c r="E495" s="5"/>
      <c r="F495" s="5" t="n">
        <v>0</v>
      </c>
      <c r="G495" s="5" t="s">
        <v>740</v>
      </c>
      <c r="H495" s="5" t="s">
        <v>71</v>
      </c>
      <c r="I495" s="5"/>
      <c r="J495" s="5"/>
      <c r="K495" s="7" t="s">
        <v>1033</v>
      </c>
    </row>
    <row r="496" customFormat="false" ht="15" hidden="false" customHeight="false" outlineLevel="0" collapsed="false">
      <c r="A496" s="5" t="s">
        <v>565</v>
      </c>
      <c r="B496" s="5"/>
      <c r="C496" s="5" t="s">
        <v>1342</v>
      </c>
      <c r="D496" s="5"/>
      <c r="E496" s="5"/>
      <c r="F496" s="5" t="n">
        <v>0</v>
      </c>
      <c r="G496" s="5" t="s">
        <v>740</v>
      </c>
      <c r="H496" s="5" t="s">
        <v>71</v>
      </c>
      <c r="I496" s="5"/>
      <c r="J496" s="5"/>
      <c r="K496" s="7" t="s">
        <v>1033</v>
      </c>
    </row>
    <row r="497" customFormat="false" ht="15" hidden="false" customHeight="false" outlineLevel="0" collapsed="false">
      <c r="A497" s="5" t="s">
        <v>565</v>
      </c>
      <c r="B497" s="5"/>
      <c r="C497" s="5" t="s">
        <v>1343</v>
      </c>
      <c r="D497" s="5"/>
      <c r="E497" s="5"/>
      <c r="F497" s="5" t="n">
        <v>0</v>
      </c>
      <c r="G497" s="5" t="s">
        <v>740</v>
      </c>
      <c r="H497" s="5" t="s">
        <v>71</v>
      </c>
      <c r="I497" s="5"/>
      <c r="J497" s="5"/>
      <c r="K497" s="7" t="s">
        <v>1033</v>
      </c>
    </row>
    <row r="498" customFormat="false" ht="15" hidden="false" customHeight="false" outlineLevel="0" collapsed="false">
      <c r="A498" s="5" t="s">
        <v>565</v>
      </c>
      <c r="B498" s="5"/>
      <c r="C498" s="5" t="s">
        <v>1344</v>
      </c>
      <c r="D498" s="5"/>
      <c r="E498" s="5"/>
      <c r="F498" s="5" t="n">
        <v>0</v>
      </c>
      <c r="G498" s="5" t="s">
        <v>740</v>
      </c>
      <c r="H498" s="5" t="s">
        <v>71</v>
      </c>
      <c r="I498" s="5"/>
      <c r="J498" s="5"/>
      <c r="K498" s="7" t="s">
        <v>1033</v>
      </c>
    </row>
    <row r="499" customFormat="false" ht="15" hidden="false" customHeight="false" outlineLevel="0" collapsed="false">
      <c r="A499" s="5" t="s">
        <v>565</v>
      </c>
      <c r="B499" s="5"/>
      <c r="C499" s="5" t="s">
        <v>1345</v>
      </c>
      <c r="D499" s="5"/>
      <c r="E499" s="5"/>
      <c r="F499" s="5" t="n">
        <v>0</v>
      </c>
      <c r="G499" s="5" t="s">
        <v>740</v>
      </c>
      <c r="H499" s="5" t="s">
        <v>71</v>
      </c>
      <c r="I499" s="5"/>
      <c r="J499" s="5"/>
      <c r="K499" s="7" t="s">
        <v>1033</v>
      </c>
    </row>
    <row r="500" customFormat="false" ht="15" hidden="false" customHeight="false" outlineLevel="0" collapsed="false">
      <c r="A500" s="5" t="s">
        <v>565</v>
      </c>
      <c r="B500" s="5"/>
      <c r="C500" s="5" t="s">
        <v>1346</v>
      </c>
      <c r="D500" s="5"/>
      <c r="E500" s="5"/>
      <c r="F500" s="5" t="n">
        <v>0</v>
      </c>
      <c r="G500" s="5" t="s">
        <v>740</v>
      </c>
      <c r="H500" s="5" t="s">
        <v>71</v>
      </c>
      <c r="I500" s="5"/>
      <c r="J500" s="5"/>
      <c r="K500" s="7" t="s">
        <v>1033</v>
      </c>
    </row>
    <row r="501" customFormat="false" ht="15" hidden="false" customHeight="false" outlineLevel="0" collapsed="false">
      <c r="A501" s="5" t="s">
        <v>565</v>
      </c>
      <c r="B501" s="5"/>
      <c r="C501" s="5" t="s">
        <v>1347</v>
      </c>
      <c r="D501" s="5"/>
      <c r="E501" s="5"/>
      <c r="F501" s="5" t="n">
        <v>0</v>
      </c>
      <c r="G501" s="5" t="s">
        <v>740</v>
      </c>
      <c r="H501" s="5" t="s">
        <v>71</v>
      </c>
      <c r="I501" s="5"/>
      <c r="J501" s="5"/>
      <c r="K501" s="7" t="s">
        <v>1033</v>
      </c>
    </row>
    <row r="502" customFormat="false" ht="15" hidden="false" customHeight="false" outlineLevel="0" collapsed="false">
      <c r="A502" s="5" t="s">
        <v>565</v>
      </c>
      <c r="B502" s="5"/>
      <c r="C502" s="5" t="s">
        <v>1348</v>
      </c>
      <c r="D502" s="5"/>
      <c r="E502" s="5"/>
      <c r="F502" s="5" t="n">
        <v>0</v>
      </c>
      <c r="G502" s="5" t="s">
        <v>740</v>
      </c>
      <c r="H502" s="5" t="s">
        <v>71</v>
      </c>
      <c r="I502" s="5"/>
      <c r="J502" s="5"/>
      <c r="K502" s="7" t="s">
        <v>1033</v>
      </c>
    </row>
    <row r="503" customFormat="false" ht="15" hidden="false" customHeight="false" outlineLevel="0" collapsed="false">
      <c r="A503" s="5" t="s">
        <v>565</v>
      </c>
      <c r="B503" s="5"/>
      <c r="C503" s="5" t="s">
        <v>1349</v>
      </c>
      <c r="D503" s="5"/>
      <c r="E503" s="5"/>
      <c r="F503" s="5" t="n">
        <v>0</v>
      </c>
      <c r="G503" s="5" t="s">
        <v>740</v>
      </c>
      <c r="H503" s="5" t="s">
        <v>71</v>
      </c>
      <c r="I503" s="5"/>
      <c r="J503" s="5"/>
      <c r="K503" s="7" t="s">
        <v>1033</v>
      </c>
    </row>
    <row r="504" customFormat="false" ht="15" hidden="false" customHeight="false" outlineLevel="0" collapsed="false">
      <c r="A504" s="5" t="s">
        <v>565</v>
      </c>
      <c r="B504" s="5"/>
      <c r="C504" s="5" t="s">
        <v>1350</v>
      </c>
      <c r="D504" s="5"/>
      <c r="E504" s="5"/>
      <c r="F504" s="5" t="n">
        <v>0</v>
      </c>
      <c r="G504" s="5" t="s">
        <v>740</v>
      </c>
      <c r="H504" s="5" t="s">
        <v>71</v>
      </c>
      <c r="I504" s="5"/>
      <c r="J504" s="5"/>
      <c r="K504" s="7" t="s">
        <v>1033</v>
      </c>
    </row>
    <row r="505" customFormat="false" ht="15" hidden="false" customHeight="false" outlineLevel="0" collapsed="false">
      <c r="A505" s="5" t="s">
        <v>565</v>
      </c>
      <c r="B505" s="5"/>
      <c r="C505" s="5" t="s">
        <v>1351</v>
      </c>
      <c r="D505" s="5"/>
      <c r="E505" s="5"/>
      <c r="F505" s="5" t="n">
        <v>0</v>
      </c>
      <c r="G505" s="5" t="s">
        <v>740</v>
      </c>
      <c r="H505" s="5" t="s">
        <v>71</v>
      </c>
      <c r="I505" s="5"/>
      <c r="J505" s="5"/>
      <c r="K505" s="7" t="s">
        <v>1033</v>
      </c>
    </row>
    <row r="506" customFormat="false" ht="15" hidden="false" customHeight="false" outlineLevel="0" collapsed="false">
      <c r="A506" s="5" t="s">
        <v>565</v>
      </c>
      <c r="B506" s="5"/>
      <c r="C506" s="5" t="s">
        <v>1352</v>
      </c>
      <c r="D506" s="5"/>
      <c r="E506" s="5"/>
      <c r="F506" s="5" t="n">
        <v>0</v>
      </c>
      <c r="G506" s="5" t="s">
        <v>740</v>
      </c>
      <c r="H506" s="5" t="s">
        <v>71</v>
      </c>
      <c r="I506" s="5"/>
      <c r="J506" s="5"/>
      <c r="K506" s="7" t="s">
        <v>1033</v>
      </c>
    </row>
    <row r="507" customFormat="false" ht="15" hidden="false" customHeight="false" outlineLevel="0" collapsed="false">
      <c r="A507" s="5" t="s">
        <v>565</v>
      </c>
      <c r="B507" s="5"/>
      <c r="C507" s="5" t="s">
        <v>1353</v>
      </c>
      <c r="D507" s="5"/>
      <c r="E507" s="5"/>
      <c r="F507" s="5" t="n">
        <v>0</v>
      </c>
      <c r="G507" s="5" t="s">
        <v>740</v>
      </c>
      <c r="H507" s="5" t="s">
        <v>71</v>
      </c>
      <c r="I507" s="5"/>
      <c r="J507" s="5"/>
      <c r="K507" s="7" t="s">
        <v>1033</v>
      </c>
    </row>
    <row r="508" customFormat="false" ht="15" hidden="false" customHeight="false" outlineLevel="0" collapsed="false">
      <c r="A508" s="5" t="s">
        <v>565</v>
      </c>
      <c r="B508" s="5"/>
      <c r="C508" s="5" t="s">
        <v>1354</v>
      </c>
      <c r="D508" s="5"/>
      <c r="E508" s="5"/>
      <c r="F508" s="5" t="n">
        <v>0</v>
      </c>
      <c r="G508" s="5" t="s">
        <v>740</v>
      </c>
      <c r="H508" s="5" t="s">
        <v>71</v>
      </c>
      <c r="I508" s="5"/>
      <c r="J508" s="5"/>
      <c r="K508" s="7" t="s">
        <v>1033</v>
      </c>
    </row>
    <row r="509" customFormat="false" ht="15" hidden="false" customHeight="false" outlineLevel="0" collapsed="false">
      <c r="A509" s="5" t="s">
        <v>565</v>
      </c>
      <c r="B509" s="5"/>
      <c r="C509" s="5" t="s">
        <v>1355</v>
      </c>
      <c r="D509" s="5"/>
      <c r="E509" s="5"/>
      <c r="F509" s="5" t="n">
        <v>0</v>
      </c>
      <c r="G509" s="5" t="s">
        <v>740</v>
      </c>
      <c r="H509" s="5" t="s">
        <v>71</v>
      </c>
      <c r="I509" s="5"/>
      <c r="J509" s="5"/>
      <c r="K509" s="7" t="s">
        <v>1033</v>
      </c>
    </row>
    <row r="510" customFormat="false" ht="15" hidden="false" customHeight="false" outlineLevel="0" collapsed="false">
      <c r="A510" s="5" t="s">
        <v>565</v>
      </c>
      <c r="B510" s="5"/>
      <c r="C510" s="5" t="s">
        <v>1356</v>
      </c>
      <c r="D510" s="5"/>
      <c r="E510" s="5"/>
      <c r="F510" s="5" t="n">
        <v>0</v>
      </c>
      <c r="G510" s="5" t="s">
        <v>740</v>
      </c>
      <c r="H510" s="5" t="s">
        <v>71</v>
      </c>
      <c r="I510" s="5"/>
      <c r="J510" s="5"/>
      <c r="K510" s="7" t="s">
        <v>1033</v>
      </c>
    </row>
    <row r="511" customFormat="false" ht="15" hidden="false" customHeight="false" outlineLevel="0" collapsed="false">
      <c r="A511" s="5" t="s">
        <v>565</v>
      </c>
      <c r="B511" s="5"/>
      <c r="C511" s="5" t="s">
        <v>1357</v>
      </c>
      <c r="D511" s="5"/>
      <c r="E511" s="5"/>
      <c r="F511" s="5" t="n">
        <v>0</v>
      </c>
      <c r="G511" s="5" t="s">
        <v>740</v>
      </c>
      <c r="H511" s="5" t="s">
        <v>71</v>
      </c>
      <c r="I511" s="5"/>
      <c r="J511" s="5"/>
      <c r="K511" s="7" t="s">
        <v>1033</v>
      </c>
    </row>
    <row r="512" customFormat="false" ht="15" hidden="false" customHeight="false" outlineLevel="0" collapsed="false">
      <c r="A512" s="5" t="s">
        <v>565</v>
      </c>
      <c r="B512" s="5"/>
      <c r="C512" s="5" t="s">
        <v>1358</v>
      </c>
      <c r="D512" s="5"/>
      <c r="E512" s="5"/>
      <c r="F512" s="5" t="n">
        <v>0</v>
      </c>
      <c r="G512" s="5" t="s">
        <v>740</v>
      </c>
      <c r="H512" s="5" t="s">
        <v>71</v>
      </c>
      <c r="I512" s="5"/>
      <c r="J512" s="5"/>
      <c r="K512" s="7" t="s">
        <v>1033</v>
      </c>
    </row>
    <row r="513" customFormat="false" ht="15" hidden="false" customHeight="false" outlineLevel="0" collapsed="false">
      <c r="A513" s="5" t="s">
        <v>565</v>
      </c>
      <c r="B513" s="5"/>
      <c r="C513" s="5" t="s">
        <v>1359</v>
      </c>
      <c r="D513" s="5"/>
      <c r="E513" s="5"/>
      <c r="F513" s="5" t="n">
        <v>0</v>
      </c>
      <c r="G513" s="5" t="s">
        <v>740</v>
      </c>
      <c r="H513" s="5" t="s">
        <v>71</v>
      </c>
      <c r="I513" s="5"/>
      <c r="J513" s="5"/>
      <c r="K513" s="7" t="s">
        <v>1033</v>
      </c>
    </row>
    <row r="514" customFormat="false" ht="15" hidden="false" customHeight="false" outlineLevel="0" collapsed="false">
      <c r="A514" s="5" t="s">
        <v>565</v>
      </c>
      <c r="B514" s="5"/>
      <c r="C514" s="5" t="s">
        <v>1360</v>
      </c>
      <c r="D514" s="5"/>
      <c r="E514" s="5"/>
      <c r="F514" s="5" t="n">
        <v>0</v>
      </c>
      <c r="G514" s="5" t="s">
        <v>740</v>
      </c>
      <c r="H514" s="5" t="s">
        <v>71</v>
      </c>
      <c r="I514" s="5"/>
      <c r="J514" s="5"/>
      <c r="K514" s="7" t="s">
        <v>1033</v>
      </c>
    </row>
    <row r="515" customFormat="false" ht="15" hidden="false" customHeight="false" outlineLevel="0" collapsed="false">
      <c r="A515" s="5" t="s">
        <v>565</v>
      </c>
      <c r="B515" s="5"/>
      <c r="C515" s="5" t="s">
        <v>1361</v>
      </c>
      <c r="D515" s="5"/>
      <c r="E515" s="5"/>
      <c r="F515" s="5" t="n">
        <v>0</v>
      </c>
      <c r="G515" s="5" t="s">
        <v>740</v>
      </c>
      <c r="H515" s="5" t="s">
        <v>71</v>
      </c>
      <c r="I515" s="5"/>
      <c r="J515" s="5"/>
      <c r="K515" s="7" t="s">
        <v>1033</v>
      </c>
    </row>
    <row r="516" customFormat="false" ht="15" hidden="false" customHeight="false" outlineLevel="0" collapsed="false">
      <c r="A516" s="5" t="s">
        <v>565</v>
      </c>
      <c r="B516" s="5"/>
      <c r="C516" s="5" t="s">
        <v>1362</v>
      </c>
      <c r="D516" s="5"/>
      <c r="E516" s="5"/>
      <c r="F516" s="5" t="n">
        <v>0</v>
      </c>
      <c r="G516" s="5" t="s">
        <v>740</v>
      </c>
      <c r="H516" s="5" t="s">
        <v>71</v>
      </c>
      <c r="I516" s="5"/>
      <c r="J516" s="5"/>
      <c r="K516" s="7" t="s">
        <v>1033</v>
      </c>
    </row>
    <row r="517" customFormat="false" ht="15" hidden="false" customHeight="false" outlineLevel="0" collapsed="false">
      <c r="A517" s="5" t="s">
        <v>565</v>
      </c>
      <c r="B517" s="5"/>
      <c r="C517" s="5" t="s">
        <v>1363</v>
      </c>
      <c r="D517" s="5"/>
      <c r="E517" s="5"/>
      <c r="F517" s="5" t="n">
        <v>0</v>
      </c>
      <c r="G517" s="5" t="s">
        <v>740</v>
      </c>
      <c r="H517" s="5" t="s">
        <v>71</v>
      </c>
      <c r="I517" s="5"/>
      <c r="J517" s="5"/>
      <c r="K517" s="7" t="s">
        <v>1033</v>
      </c>
    </row>
    <row r="518" customFormat="false" ht="15" hidden="false" customHeight="false" outlineLevel="0" collapsed="false">
      <c r="A518" s="5" t="s">
        <v>565</v>
      </c>
      <c r="B518" s="5"/>
      <c r="C518" s="5" t="s">
        <v>1364</v>
      </c>
      <c r="D518" s="5"/>
      <c r="E518" s="5"/>
      <c r="F518" s="5" t="n">
        <v>0</v>
      </c>
      <c r="G518" s="5" t="s">
        <v>740</v>
      </c>
      <c r="H518" s="5" t="s">
        <v>71</v>
      </c>
      <c r="I518" s="5"/>
      <c r="J518" s="5"/>
      <c r="K518" s="7" t="s">
        <v>1033</v>
      </c>
    </row>
    <row r="519" customFormat="false" ht="15" hidden="false" customHeight="false" outlineLevel="0" collapsed="false">
      <c r="A519" s="5" t="s">
        <v>565</v>
      </c>
      <c r="B519" s="5"/>
      <c r="C519" s="5" t="s">
        <v>1365</v>
      </c>
      <c r="D519" s="5"/>
      <c r="E519" s="5"/>
      <c r="F519" s="5" t="n">
        <v>0</v>
      </c>
      <c r="G519" s="5" t="s">
        <v>740</v>
      </c>
      <c r="H519" s="5" t="s">
        <v>71</v>
      </c>
      <c r="I519" s="5"/>
      <c r="J519" s="5"/>
      <c r="K519" s="7" t="s">
        <v>1033</v>
      </c>
    </row>
    <row r="520" customFormat="false" ht="15" hidden="false" customHeight="false" outlineLevel="0" collapsed="false">
      <c r="A520" s="5" t="s">
        <v>565</v>
      </c>
      <c r="B520" s="5"/>
      <c r="C520" s="5" t="s">
        <v>1366</v>
      </c>
      <c r="D520" s="5"/>
      <c r="E520" s="5"/>
      <c r="F520" s="5" t="n">
        <v>0</v>
      </c>
      <c r="G520" s="5" t="s">
        <v>740</v>
      </c>
      <c r="H520" s="5" t="s">
        <v>71</v>
      </c>
      <c r="I520" s="5"/>
      <c r="J520" s="5"/>
      <c r="K520" s="7" t="s">
        <v>1033</v>
      </c>
    </row>
    <row r="521" customFormat="false" ht="15" hidden="false" customHeight="false" outlineLevel="0" collapsed="false">
      <c r="A521" s="5" t="s">
        <v>565</v>
      </c>
      <c r="B521" s="5"/>
      <c r="C521" s="5" t="s">
        <v>1367</v>
      </c>
      <c r="D521" s="5"/>
      <c r="E521" s="5"/>
      <c r="F521" s="5" t="n">
        <v>0</v>
      </c>
      <c r="G521" s="5" t="s">
        <v>740</v>
      </c>
      <c r="H521" s="5" t="s">
        <v>71</v>
      </c>
      <c r="I521" s="5"/>
      <c r="J521" s="5"/>
      <c r="K521" s="7" t="s">
        <v>1033</v>
      </c>
    </row>
    <row r="522" customFormat="false" ht="15" hidden="false" customHeight="false" outlineLevel="0" collapsed="false">
      <c r="A522" s="5" t="s">
        <v>565</v>
      </c>
      <c r="B522" s="5"/>
      <c r="C522" s="5" t="s">
        <v>1368</v>
      </c>
      <c r="D522" s="5"/>
      <c r="E522" s="5"/>
      <c r="F522" s="5" t="n">
        <v>0</v>
      </c>
      <c r="G522" s="5" t="s">
        <v>740</v>
      </c>
      <c r="H522" s="5" t="s">
        <v>71</v>
      </c>
      <c r="I522" s="5"/>
      <c r="J522" s="5"/>
      <c r="K522" s="7" t="s">
        <v>1033</v>
      </c>
    </row>
    <row r="523" customFormat="false" ht="15" hidden="false" customHeight="false" outlineLevel="0" collapsed="false">
      <c r="A523" s="5" t="s">
        <v>565</v>
      </c>
      <c r="B523" s="5"/>
      <c r="C523" s="5" t="s">
        <v>1369</v>
      </c>
      <c r="D523" s="5"/>
      <c r="E523" s="5"/>
      <c r="F523" s="5" t="n">
        <v>0</v>
      </c>
      <c r="G523" s="5" t="s">
        <v>740</v>
      </c>
      <c r="H523" s="5" t="s">
        <v>71</v>
      </c>
      <c r="I523" s="5"/>
      <c r="J523" s="5"/>
      <c r="K523" s="7" t="s">
        <v>1033</v>
      </c>
    </row>
    <row r="524" customFormat="false" ht="15" hidden="false" customHeight="false" outlineLevel="0" collapsed="false">
      <c r="A524" s="5" t="s">
        <v>565</v>
      </c>
      <c r="B524" s="5"/>
      <c r="C524" s="5" t="s">
        <v>1370</v>
      </c>
      <c r="D524" s="5"/>
      <c r="E524" s="5"/>
      <c r="F524" s="5" t="n">
        <v>0</v>
      </c>
      <c r="G524" s="5" t="s">
        <v>740</v>
      </c>
      <c r="H524" s="5" t="s">
        <v>71</v>
      </c>
      <c r="I524" s="5"/>
      <c r="J524" s="5"/>
      <c r="K524" s="7" t="s">
        <v>1033</v>
      </c>
    </row>
    <row r="525" customFormat="false" ht="15" hidden="false" customHeight="false" outlineLevel="0" collapsed="false">
      <c r="A525" s="5" t="s">
        <v>565</v>
      </c>
      <c r="B525" s="5"/>
      <c r="C525" s="5" t="s">
        <v>1371</v>
      </c>
      <c r="D525" s="5"/>
      <c r="E525" s="5"/>
      <c r="F525" s="5" t="n">
        <v>0</v>
      </c>
      <c r="G525" s="5" t="s">
        <v>740</v>
      </c>
      <c r="H525" s="5" t="s">
        <v>71</v>
      </c>
      <c r="I525" s="5"/>
      <c r="J525" s="5"/>
      <c r="K525" s="7" t="s">
        <v>1033</v>
      </c>
    </row>
    <row r="526" customFormat="false" ht="15" hidden="false" customHeight="false" outlineLevel="0" collapsed="false">
      <c r="A526" s="5" t="s">
        <v>565</v>
      </c>
      <c r="B526" s="5"/>
      <c r="C526" s="5" t="s">
        <v>1372</v>
      </c>
      <c r="D526" s="5"/>
      <c r="E526" s="5"/>
      <c r="F526" s="5" t="n">
        <v>0</v>
      </c>
      <c r="G526" s="5" t="s">
        <v>740</v>
      </c>
      <c r="H526" s="5" t="s">
        <v>71</v>
      </c>
      <c r="I526" s="5"/>
      <c r="J526" s="5"/>
      <c r="K526" s="7" t="s">
        <v>1033</v>
      </c>
    </row>
    <row r="527" customFormat="false" ht="15" hidden="false" customHeight="false" outlineLevel="0" collapsed="false">
      <c r="A527" s="5" t="s">
        <v>565</v>
      </c>
      <c r="B527" s="5"/>
      <c r="C527" s="5" t="s">
        <v>1373</v>
      </c>
      <c r="D527" s="5"/>
      <c r="E527" s="5"/>
      <c r="F527" s="5" t="n">
        <v>0</v>
      </c>
      <c r="G527" s="5" t="s">
        <v>740</v>
      </c>
      <c r="H527" s="5" t="s">
        <v>71</v>
      </c>
      <c r="I527" s="5"/>
      <c r="J527" s="5"/>
      <c r="K527" s="7" t="s">
        <v>1033</v>
      </c>
    </row>
    <row r="528" customFormat="false" ht="15" hidden="false" customHeight="false" outlineLevel="0" collapsed="false">
      <c r="A528" s="5" t="s">
        <v>565</v>
      </c>
      <c r="B528" s="5"/>
      <c r="C528" s="5" t="s">
        <v>1374</v>
      </c>
      <c r="D528" s="5"/>
      <c r="E528" s="5"/>
      <c r="F528" s="5" t="n">
        <v>0</v>
      </c>
      <c r="G528" s="5" t="s">
        <v>740</v>
      </c>
      <c r="H528" s="5" t="s">
        <v>71</v>
      </c>
      <c r="I528" s="5"/>
      <c r="J528" s="5"/>
      <c r="K528" s="7" t="s">
        <v>1033</v>
      </c>
    </row>
    <row r="529" customFormat="false" ht="15" hidden="false" customHeight="false" outlineLevel="0" collapsed="false">
      <c r="A529" s="5" t="s">
        <v>565</v>
      </c>
      <c r="B529" s="5"/>
      <c r="C529" s="5" t="s">
        <v>1375</v>
      </c>
      <c r="D529" s="5"/>
      <c r="E529" s="5"/>
      <c r="F529" s="5" t="n">
        <v>0</v>
      </c>
      <c r="G529" s="5" t="s">
        <v>740</v>
      </c>
      <c r="H529" s="5" t="s">
        <v>71</v>
      </c>
      <c r="I529" s="5"/>
      <c r="J529" s="5"/>
      <c r="K529" s="7" t="s">
        <v>1033</v>
      </c>
    </row>
    <row r="530" customFormat="false" ht="15" hidden="false" customHeight="false" outlineLevel="0" collapsed="false">
      <c r="A530" s="5" t="s">
        <v>565</v>
      </c>
      <c r="B530" s="5"/>
      <c r="C530" s="5" t="s">
        <v>1376</v>
      </c>
      <c r="D530" s="5"/>
      <c r="E530" s="5"/>
      <c r="F530" s="5" t="n">
        <v>0</v>
      </c>
      <c r="G530" s="5" t="s">
        <v>740</v>
      </c>
      <c r="H530" s="5" t="s">
        <v>71</v>
      </c>
      <c r="I530" s="5"/>
      <c r="J530" s="5"/>
      <c r="K530" s="7" t="s">
        <v>1033</v>
      </c>
    </row>
    <row r="531" customFormat="false" ht="15" hidden="false" customHeight="false" outlineLevel="0" collapsed="false">
      <c r="A531" s="5" t="s">
        <v>565</v>
      </c>
      <c r="B531" s="5"/>
      <c r="C531" s="5" t="s">
        <v>1377</v>
      </c>
      <c r="D531" s="5"/>
      <c r="E531" s="5"/>
      <c r="F531" s="5" t="n">
        <v>0</v>
      </c>
      <c r="G531" s="5" t="s">
        <v>740</v>
      </c>
      <c r="H531" s="5" t="s">
        <v>71</v>
      </c>
      <c r="I531" s="5"/>
      <c r="J531" s="5"/>
      <c r="K531" s="7" t="s">
        <v>1033</v>
      </c>
    </row>
    <row r="532" customFormat="false" ht="15" hidden="false" customHeight="false" outlineLevel="0" collapsed="false">
      <c r="A532" s="5" t="s">
        <v>565</v>
      </c>
      <c r="B532" s="5"/>
      <c r="C532" s="5" t="s">
        <v>1378</v>
      </c>
      <c r="D532" s="5"/>
      <c r="E532" s="5"/>
      <c r="F532" s="5" t="n">
        <v>0</v>
      </c>
      <c r="G532" s="5" t="s">
        <v>740</v>
      </c>
      <c r="H532" s="5" t="s">
        <v>71</v>
      </c>
      <c r="I532" s="5"/>
      <c r="J532" s="5"/>
      <c r="K532" s="7" t="s">
        <v>1033</v>
      </c>
    </row>
    <row r="533" customFormat="false" ht="15" hidden="false" customHeight="false" outlineLevel="0" collapsed="false">
      <c r="A533" s="5" t="s">
        <v>565</v>
      </c>
      <c r="B533" s="5"/>
      <c r="C533" s="5" t="s">
        <v>1379</v>
      </c>
      <c r="D533" s="5"/>
      <c r="E533" s="5"/>
      <c r="F533" s="5" t="n">
        <v>0</v>
      </c>
      <c r="G533" s="5" t="s">
        <v>740</v>
      </c>
      <c r="H533" s="5" t="s">
        <v>71</v>
      </c>
      <c r="I533" s="5"/>
      <c r="J533" s="5"/>
      <c r="K533" s="7" t="s">
        <v>1033</v>
      </c>
    </row>
    <row r="534" customFormat="false" ht="15" hidden="false" customHeight="false" outlineLevel="0" collapsed="false">
      <c r="A534" s="5" t="s">
        <v>565</v>
      </c>
      <c r="B534" s="5"/>
      <c r="C534" s="5" t="s">
        <v>1380</v>
      </c>
      <c r="D534" s="5"/>
      <c r="E534" s="5"/>
      <c r="F534" s="5" t="n">
        <v>0</v>
      </c>
      <c r="G534" s="5" t="s">
        <v>740</v>
      </c>
      <c r="H534" s="5" t="s">
        <v>71</v>
      </c>
      <c r="I534" s="5"/>
      <c r="J534" s="5"/>
      <c r="K534" s="7" t="s">
        <v>1033</v>
      </c>
    </row>
    <row r="535" customFormat="false" ht="15" hidden="false" customHeight="false" outlineLevel="0" collapsed="false">
      <c r="A535" s="5" t="s">
        <v>565</v>
      </c>
      <c r="B535" s="5"/>
      <c r="C535" s="5" t="s">
        <v>1381</v>
      </c>
      <c r="D535" s="5"/>
      <c r="E535" s="5"/>
      <c r="F535" s="5" t="n">
        <v>0</v>
      </c>
      <c r="G535" s="5" t="s">
        <v>740</v>
      </c>
      <c r="H535" s="5" t="s">
        <v>71</v>
      </c>
      <c r="I535" s="5"/>
      <c r="J535" s="5"/>
      <c r="K535" s="7" t="s">
        <v>1033</v>
      </c>
    </row>
    <row r="536" customFormat="false" ht="15" hidden="false" customHeight="false" outlineLevel="0" collapsed="false">
      <c r="A536" s="5" t="s">
        <v>565</v>
      </c>
      <c r="B536" s="5"/>
      <c r="C536" s="5" t="s">
        <v>1382</v>
      </c>
      <c r="D536" s="5"/>
      <c r="E536" s="5"/>
      <c r="F536" s="5" t="n">
        <v>0</v>
      </c>
      <c r="G536" s="5" t="s">
        <v>740</v>
      </c>
      <c r="H536" s="5" t="s">
        <v>71</v>
      </c>
      <c r="I536" s="5"/>
      <c r="J536" s="5"/>
      <c r="K536" s="7" t="s">
        <v>1033</v>
      </c>
    </row>
    <row r="537" customFormat="false" ht="15" hidden="false" customHeight="false" outlineLevel="0" collapsed="false">
      <c r="A537" s="5" t="s">
        <v>565</v>
      </c>
      <c r="B537" s="5"/>
      <c r="C537" s="5" t="s">
        <v>1383</v>
      </c>
      <c r="D537" s="5"/>
      <c r="E537" s="5"/>
      <c r="F537" s="5" t="n">
        <v>0</v>
      </c>
      <c r="G537" s="5" t="s">
        <v>740</v>
      </c>
      <c r="H537" s="5" t="s">
        <v>71</v>
      </c>
      <c r="I537" s="5"/>
      <c r="J537" s="5"/>
      <c r="K537" s="7" t="s">
        <v>1033</v>
      </c>
    </row>
    <row r="538" customFormat="false" ht="15" hidden="false" customHeight="false" outlineLevel="0" collapsed="false">
      <c r="A538" s="5" t="s">
        <v>565</v>
      </c>
      <c r="B538" s="5"/>
      <c r="C538" s="5" t="s">
        <v>1384</v>
      </c>
      <c r="D538" s="5"/>
      <c r="E538" s="5"/>
      <c r="F538" s="5" t="n">
        <v>0</v>
      </c>
      <c r="G538" s="5" t="s">
        <v>740</v>
      </c>
      <c r="H538" s="5" t="s">
        <v>71</v>
      </c>
      <c r="I538" s="5"/>
      <c r="J538" s="5"/>
      <c r="K538" s="7" t="s">
        <v>1033</v>
      </c>
    </row>
    <row r="539" customFormat="false" ht="15" hidden="false" customHeight="false" outlineLevel="0" collapsed="false">
      <c r="A539" s="5" t="s">
        <v>565</v>
      </c>
      <c r="B539" s="5"/>
      <c r="C539" s="5" t="s">
        <v>1385</v>
      </c>
      <c r="D539" s="5"/>
      <c r="E539" s="5"/>
      <c r="F539" s="5" t="n">
        <v>0</v>
      </c>
      <c r="G539" s="5" t="s">
        <v>740</v>
      </c>
      <c r="H539" s="5" t="s">
        <v>71</v>
      </c>
      <c r="I539" s="5"/>
      <c r="J539" s="5"/>
      <c r="K539" s="7" t="s">
        <v>1033</v>
      </c>
    </row>
    <row r="540" customFormat="false" ht="15" hidden="false" customHeight="false" outlineLevel="0" collapsed="false">
      <c r="A540" s="5" t="s">
        <v>565</v>
      </c>
      <c r="B540" s="5"/>
      <c r="C540" s="5" t="s">
        <v>1386</v>
      </c>
      <c r="D540" s="5"/>
      <c r="E540" s="5"/>
      <c r="F540" s="5" t="n">
        <v>0</v>
      </c>
      <c r="G540" s="5" t="s">
        <v>740</v>
      </c>
      <c r="H540" s="5" t="s">
        <v>71</v>
      </c>
      <c r="I540" s="5"/>
      <c r="J540" s="5"/>
      <c r="K540" s="7" t="s">
        <v>1033</v>
      </c>
    </row>
    <row r="541" customFormat="false" ht="15" hidden="false" customHeight="false" outlineLevel="0" collapsed="false">
      <c r="A541" s="5" t="s">
        <v>565</v>
      </c>
      <c r="B541" s="5"/>
      <c r="C541" s="5" t="s">
        <v>1387</v>
      </c>
      <c r="D541" s="5"/>
      <c r="E541" s="5"/>
      <c r="F541" s="5" t="n">
        <v>0</v>
      </c>
      <c r="G541" s="5" t="s">
        <v>740</v>
      </c>
      <c r="H541" s="5" t="s">
        <v>71</v>
      </c>
      <c r="I541" s="5"/>
      <c r="J541" s="5"/>
      <c r="K541" s="7" t="s">
        <v>1033</v>
      </c>
    </row>
    <row r="542" customFormat="false" ht="15" hidden="false" customHeight="false" outlineLevel="0" collapsed="false">
      <c r="A542" s="5" t="s">
        <v>565</v>
      </c>
      <c r="B542" s="5"/>
      <c r="C542" s="5" t="s">
        <v>1388</v>
      </c>
      <c r="D542" s="5"/>
      <c r="E542" s="5"/>
      <c r="F542" s="5" t="n">
        <v>0</v>
      </c>
      <c r="G542" s="5" t="s">
        <v>740</v>
      </c>
      <c r="H542" s="5" t="s">
        <v>71</v>
      </c>
      <c r="I542" s="5"/>
      <c r="J542" s="5"/>
      <c r="K542" s="7" t="s">
        <v>1033</v>
      </c>
    </row>
    <row r="543" customFormat="false" ht="15" hidden="false" customHeight="false" outlineLevel="0" collapsed="false">
      <c r="A543" s="5" t="s">
        <v>565</v>
      </c>
      <c r="B543" s="5"/>
      <c r="C543" s="5" t="s">
        <v>1389</v>
      </c>
      <c r="D543" s="5"/>
      <c r="E543" s="5"/>
      <c r="F543" s="5" t="n">
        <v>0</v>
      </c>
      <c r="G543" s="5" t="s">
        <v>740</v>
      </c>
      <c r="H543" s="5" t="s">
        <v>71</v>
      </c>
      <c r="I543" s="5"/>
      <c r="J543" s="5"/>
      <c r="K543" s="7" t="s">
        <v>1033</v>
      </c>
    </row>
    <row r="544" customFormat="false" ht="15" hidden="false" customHeight="false" outlineLevel="0" collapsed="false">
      <c r="A544" s="5" t="s">
        <v>565</v>
      </c>
      <c r="B544" s="5"/>
      <c r="C544" s="5" t="s">
        <v>1390</v>
      </c>
      <c r="D544" s="5"/>
      <c r="E544" s="5"/>
      <c r="F544" s="5" t="n">
        <v>0</v>
      </c>
      <c r="G544" s="5" t="s">
        <v>740</v>
      </c>
      <c r="H544" s="5" t="s">
        <v>71</v>
      </c>
      <c r="I544" s="5"/>
      <c r="J544" s="5"/>
      <c r="K544" s="7" t="s">
        <v>1033</v>
      </c>
    </row>
    <row r="545" customFormat="false" ht="15" hidden="false" customHeight="false" outlineLevel="0" collapsed="false">
      <c r="A545" s="5" t="s">
        <v>565</v>
      </c>
      <c r="B545" s="5"/>
      <c r="C545" s="5" t="s">
        <v>1391</v>
      </c>
      <c r="D545" s="5"/>
      <c r="E545" s="5"/>
      <c r="F545" s="5" t="n">
        <v>0</v>
      </c>
      <c r="G545" s="5" t="s">
        <v>740</v>
      </c>
      <c r="H545" s="5" t="s">
        <v>71</v>
      </c>
      <c r="I545" s="5"/>
      <c r="J545" s="5"/>
      <c r="K545" s="7" t="s">
        <v>1033</v>
      </c>
    </row>
    <row r="546" customFormat="false" ht="15" hidden="false" customHeight="false" outlineLevel="0" collapsed="false">
      <c r="A546" s="5" t="s">
        <v>565</v>
      </c>
      <c r="B546" s="5"/>
      <c r="C546" s="5" t="s">
        <v>1392</v>
      </c>
      <c r="D546" s="5"/>
      <c r="E546" s="5"/>
      <c r="F546" s="5" t="n">
        <v>0</v>
      </c>
      <c r="G546" s="5" t="s">
        <v>740</v>
      </c>
      <c r="H546" s="5" t="s">
        <v>71</v>
      </c>
      <c r="I546" s="5"/>
      <c r="J546" s="5"/>
      <c r="K546" s="7" t="s">
        <v>1033</v>
      </c>
    </row>
    <row r="547" customFormat="false" ht="15" hidden="false" customHeight="false" outlineLevel="0" collapsed="false">
      <c r="A547" s="5" t="s">
        <v>565</v>
      </c>
      <c r="B547" s="5"/>
      <c r="C547" s="5" t="s">
        <v>1393</v>
      </c>
      <c r="D547" s="5"/>
      <c r="E547" s="5"/>
      <c r="F547" s="5" t="n">
        <v>0</v>
      </c>
      <c r="G547" s="5" t="s">
        <v>740</v>
      </c>
      <c r="H547" s="5" t="s">
        <v>71</v>
      </c>
      <c r="I547" s="5"/>
      <c r="J547" s="5"/>
      <c r="K547" s="7" t="s">
        <v>1033</v>
      </c>
    </row>
    <row r="548" customFormat="false" ht="15" hidden="false" customHeight="false" outlineLevel="0" collapsed="false">
      <c r="A548" s="5" t="s">
        <v>565</v>
      </c>
      <c r="B548" s="5"/>
      <c r="C548" s="5" t="s">
        <v>1394</v>
      </c>
      <c r="D548" s="5"/>
      <c r="E548" s="5"/>
      <c r="F548" s="5" t="n">
        <v>0</v>
      </c>
      <c r="G548" s="5" t="s">
        <v>740</v>
      </c>
      <c r="H548" s="5" t="s">
        <v>71</v>
      </c>
      <c r="I548" s="5"/>
      <c r="J548" s="5"/>
      <c r="K548" s="7" t="s">
        <v>1033</v>
      </c>
    </row>
    <row r="549" customFormat="false" ht="15" hidden="false" customHeight="false" outlineLevel="0" collapsed="false">
      <c r="A549" s="5" t="s">
        <v>565</v>
      </c>
      <c r="B549" s="5"/>
      <c r="C549" s="5" t="s">
        <v>1395</v>
      </c>
      <c r="D549" s="5"/>
      <c r="E549" s="5"/>
      <c r="F549" s="5" t="n">
        <v>0</v>
      </c>
      <c r="G549" s="5" t="s">
        <v>740</v>
      </c>
      <c r="H549" s="5" t="s">
        <v>71</v>
      </c>
      <c r="I549" s="5"/>
      <c r="J549" s="5"/>
      <c r="K549" s="7" t="s">
        <v>1033</v>
      </c>
    </row>
    <row r="550" customFormat="false" ht="15" hidden="false" customHeight="false" outlineLevel="0" collapsed="false">
      <c r="A550" s="5" t="s">
        <v>565</v>
      </c>
      <c r="B550" s="5"/>
      <c r="C550" s="5" t="s">
        <v>1396</v>
      </c>
      <c r="D550" s="5"/>
      <c r="E550" s="5"/>
      <c r="F550" s="5" t="n">
        <v>0</v>
      </c>
      <c r="G550" s="5" t="s">
        <v>740</v>
      </c>
      <c r="H550" s="5" t="s">
        <v>71</v>
      </c>
      <c r="I550" s="5"/>
      <c r="J550" s="5"/>
      <c r="K550" s="7" t="s">
        <v>1033</v>
      </c>
    </row>
    <row r="551" customFormat="false" ht="15" hidden="false" customHeight="false" outlineLevel="0" collapsed="false">
      <c r="A551" s="5" t="s">
        <v>565</v>
      </c>
      <c r="B551" s="5"/>
      <c r="C551" s="5" t="s">
        <v>1397</v>
      </c>
      <c r="D551" s="5"/>
      <c r="E551" s="5"/>
      <c r="F551" s="5" t="n">
        <v>0</v>
      </c>
      <c r="G551" s="5" t="s">
        <v>740</v>
      </c>
      <c r="H551" s="5" t="s">
        <v>71</v>
      </c>
      <c r="I551" s="5"/>
      <c r="J551" s="5"/>
      <c r="K551" s="7" t="s">
        <v>1033</v>
      </c>
    </row>
    <row r="552" customFormat="false" ht="15" hidden="false" customHeight="false" outlineLevel="0" collapsed="false">
      <c r="A552" s="5" t="s">
        <v>565</v>
      </c>
      <c r="B552" s="5"/>
      <c r="C552" s="5" t="s">
        <v>1398</v>
      </c>
      <c r="D552" s="5"/>
      <c r="E552" s="5"/>
      <c r="F552" s="5" t="n">
        <v>0</v>
      </c>
      <c r="G552" s="5" t="s">
        <v>740</v>
      </c>
      <c r="H552" s="5" t="s">
        <v>71</v>
      </c>
      <c r="I552" s="5"/>
      <c r="J552" s="5"/>
      <c r="K552" s="7" t="s">
        <v>1033</v>
      </c>
    </row>
    <row r="553" customFormat="false" ht="15" hidden="false" customHeight="false" outlineLevel="0" collapsed="false">
      <c r="A553" s="5" t="s">
        <v>565</v>
      </c>
      <c r="B553" s="5"/>
      <c r="C553" s="5" t="s">
        <v>1399</v>
      </c>
      <c r="D553" s="5"/>
      <c r="E553" s="5"/>
      <c r="F553" s="5" t="n">
        <v>0</v>
      </c>
      <c r="G553" s="5" t="s">
        <v>740</v>
      </c>
      <c r="H553" s="5" t="s">
        <v>71</v>
      </c>
      <c r="I553" s="5"/>
      <c r="J553" s="5"/>
      <c r="K553" s="7" t="s">
        <v>1033</v>
      </c>
    </row>
    <row r="554" customFormat="false" ht="15" hidden="false" customHeight="false" outlineLevel="0" collapsed="false">
      <c r="A554" s="5" t="s">
        <v>565</v>
      </c>
      <c r="B554" s="5"/>
      <c r="C554" s="5" t="s">
        <v>1400</v>
      </c>
      <c r="D554" s="5"/>
      <c r="E554" s="5"/>
      <c r="F554" s="5" t="n">
        <v>0</v>
      </c>
      <c r="G554" s="5" t="s">
        <v>740</v>
      </c>
      <c r="H554" s="5" t="s">
        <v>71</v>
      </c>
      <c r="I554" s="5"/>
      <c r="J554" s="5"/>
      <c r="K554" s="7" t="s">
        <v>1033</v>
      </c>
    </row>
    <row r="555" customFormat="false" ht="15" hidden="false" customHeight="false" outlineLevel="0" collapsed="false">
      <c r="A555" s="5" t="s">
        <v>565</v>
      </c>
      <c r="B555" s="5"/>
      <c r="C555" s="5" t="s">
        <v>1401</v>
      </c>
      <c r="D555" s="5"/>
      <c r="E555" s="5"/>
      <c r="F555" s="5" t="n">
        <v>0</v>
      </c>
      <c r="G555" s="5" t="s">
        <v>740</v>
      </c>
      <c r="H555" s="5" t="s">
        <v>71</v>
      </c>
      <c r="I555" s="5"/>
      <c r="J555" s="5"/>
      <c r="K555" s="7" t="s">
        <v>1033</v>
      </c>
    </row>
    <row r="556" customFormat="false" ht="15" hidden="false" customHeight="false" outlineLevel="0" collapsed="false">
      <c r="A556" s="5" t="s">
        <v>565</v>
      </c>
      <c r="B556" s="5"/>
      <c r="C556" s="5" t="s">
        <v>1402</v>
      </c>
      <c r="D556" s="5"/>
      <c r="E556" s="5"/>
      <c r="F556" s="5" t="n">
        <v>0</v>
      </c>
      <c r="G556" s="5" t="s">
        <v>740</v>
      </c>
      <c r="H556" s="5" t="s">
        <v>71</v>
      </c>
      <c r="I556" s="5"/>
      <c r="J556" s="5"/>
      <c r="K556" s="7" t="s">
        <v>1033</v>
      </c>
    </row>
    <row r="557" customFormat="false" ht="15" hidden="false" customHeight="false" outlineLevel="0" collapsed="false">
      <c r="A557" s="5" t="s">
        <v>565</v>
      </c>
      <c r="B557" s="5"/>
      <c r="C557" s="5" t="s">
        <v>1403</v>
      </c>
      <c r="D557" s="5"/>
      <c r="E557" s="5"/>
      <c r="F557" s="5" t="n">
        <v>0</v>
      </c>
      <c r="G557" s="5" t="s">
        <v>740</v>
      </c>
      <c r="H557" s="5" t="s">
        <v>71</v>
      </c>
      <c r="I557" s="5"/>
      <c r="J557" s="5"/>
      <c r="K557" s="7" t="s">
        <v>1033</v>
      </c>
    </row>
    <row r="558" customFormat="false" ht="15" hidden="false" customHeight="false" outlineLevel="0" collapsed="false">
      <c r="A558" s="5" t="s">
        <v>565</v>
      </c>
      <c r="B558" s="5"/>
      <c r="C558" s="5" t="s">
        <v>1404</v>
      </c>
      <c r="D558" s="5"/>
      <c r="E558" s="5"/>
      <c r="F558" s="5" t="n">
        <v>0</v>
      </c>
      <c r="G558" s="5" t="s">
        <v>740</v>
      </c>
      <c r="H558" s="5" t="s">
        <v>71</v>
      </c>
      <c r="I558" s="5"/>
      <c r="J558" s="5"/>
      <c r="K558" s="7" t="s">
        <v>1033</v>
      </c>
    </row>
    <row r="559" customFormat="false" ht="15" hidden="false" customHeight="false" outlineLevel="0" collapsed="false">
      <c r="A559" s="5" t="s">
        <v>565</v>
      </c>
      <c r="B559" s="5"/>
      <c r="C559" s="5" t="s">
        <v>1405</v>
      </c>
      <c r="D559" s="5"/>
      <c r="E559" s="5"/>
      <c r="F559" s="5" t="n">
        <v>0</v>
      </c>
      <c r="G559" s="5" t="s">
        <v>740</v>
      </c>
      <c r="H559" s="5" t="s">
        <v>71</v>
      </c>
      <c r="I559" s="5"/>
      <c r="J559" s="5"/>
      <c r="K559" s="7" t="s">
        <v>1033</v>
      </c>
    </row>
    <row r="560" customFormat="false" ht="15" hidden="false" customHeight="false" outlineLevel="0" collapsed="false">
      <c r="A560" s="5" t="s">
        <v>565</v>
      </c>
      <c r="B560" s="5"/>
      <c r="C560" s="5" t="s">
        <v>1406</v>
      </c>
      <c r="D560" s="5"/>
      <c r="E560" s="5"/>
      <c r="F560" s="5" t="n">
        <v>0</v>
      </c>
      <c r="G560" s="5" t="s">
        <v>740</v>
      </c>
      <c r="H560" s="5" t="s">
        <v>71</v>
      </c>
      <c r="I560" s="5"/>
      <c r="J560" s="5"/>
      <c r="K560" s="7" t="s">
        <v>1033</v>
      </c>
    </row>
    <row r="561" customFormat="false" ht="15" hidden="false" customHeight="false" outlineLevel="0" collapsed="false">
      <c r="A561" s="5" t="s">
        <v>565</v>
      </c>
      <c r="B561" s="5"/>
      <c r="C561" s="5" t="s">
        <v>1407</v>
      </c>
      <c r="D561" s="5"/>
      <c r="E561" s="5"/>
      <c r="F561" s="5" t="n">
        <v>0</v>
      </c>
      <c r="G561" s="5" t="s">
        <v>740</v>
      </c>
      <c r="H561" s="5" t="s">
        <v>71</v>
      </c>
      <c r="I561" s="5"/>
      <c r="J561" s="5"/>
      <c r="K561" s="7" t="s">
        <v>1033</v>
      </c>
    </row>
    <row r="562" customFormat="false" ht="15" hidden="false" customHeight="false" outlineLevel="0" collapsed="false">
      <c r="A562" s="5" t="s">
        <v>565</v>
      </c>
      <c r="B562" s="5"/>
      <c r="C562" s="5" t="s">
        <v>1408</v>
      </c>
      <c r="D562" s="5"/>
      <c r="E562" s="5"/>
      <c r="F562" s="5" t="n">
        <v>0</v>
      </c>
      <c r="G562" s="5" t="s">
        <v>740</v>
      </c>
      <c r="H562" s="5" t="s">
        <v>71</v>
      </c>
      <c r="I562" s="5"/>
      <c r="J562" s="5"/>
      <c r="K562" s="7" t="s">
        <v>1033</v>
      </c>
    </row>
    <row r="563" customFormat="false" ht="15" hidden="false" customHeight="false" outlineLevel="0" collapsed="false">
      <c r="A563" s="5" t="s">
        <v>565</v>
      </c>
      <c r="B563" s="5"/>
      <c r="C563" s="5" t="s">
        <v>1409</v>
      </c>
      <c r="D563" s="5"/>
      <c r="E563" s="5"/>
      <c r="F563" s="5" t="n">
        <v>0</v>
      </c>
      <c r="G563" s="5" t="s">
        <v>740</v>
      </c>
      <c r="H563" s="5" t="s">
        <v>71</v>
      </c>
      <c r="I563" s="5"/>
      <c r="J563" s="5"/>
      <c r="K563" s="7" t="s">
        <v>1033</v>
      </c>
    </row>
    <row r="564" customFormat="false" ht="15" hidden="false" customHeight="false" outlineLevel="0" collapsed="false">
      <c r="A564" s="5" t="s">
        <v>565</v>
      </c>
      <c r="B564" s="5"/>
      <c r="C564" s="5" t="s">
        <v>1410</v>
      </c>
      <c r="D564" s="5"/>
      <c r="E564" s="5"/>
      <c r="F564" s="5" t="n">
        <v>0</v>
      </c>
      <c r="G564" s="5" t="s">
        <v>740</v>
      </c>
      <c r="H564" s="5" t="s">
        <v>71</v>
      </c>
      <c r="I564" s="5"/>
      <c r="J564" s="5"/>
      <c r="K564" s="7" t="s">
        <v>1033</v>
      </c>
    </row>
    <row r="565" customFormat="false" ht="15" hidden="false" customHeight="false" outlineLevel="0" collapsed="false">
      <c r="A565" s="5" t="s">
        <v>565</v>
      </c>
      <c r="B565" s="5"/>
      <c r="C565" s="5" t="s">
        <v>1411</v>
      </c>
      <c r="D565" s="5"/>
      <c r="E565" s="5"/>
      <c r="F565" s="5" t="n">
        <v>0</v>
      </c>
      <c r="G565" s="5" t="s">
        <v>740</v>
      </c>
      <c r="H565" s="5" t="s">
        <v>71</v>
      </c>
      <c r="I565" s="5"/>
      <c r="J565" s="5"/>
      <c r="K565" s="7" t="s">
        <v>1033</v>
      </c>
    </row>
    <row r="566" customFormat="false" ht="15" hidden="false" customHeight="false" outlineLevel="0" collapsed="false">
      <c r="A566" s="5" t="s">
        <v>565</v>
      </c>
      <c r="B566" s="5"/>
      <c r="C566" s="5" t="s">
        <v>1412</v>
      </c>
      <c r="D566" s="5"/>
      <c r="E566" s="5"/>
      <c r="F566" s="5" t="n">
        <v>0</v>
      </c>
      <c r="G566" s="5" t="s">
        <v>740</v>
      </c>
      <c r="H566" s="5" t="s">
        <v>71</v>
      </c>
      <c r="I566" s="5"/>
      <c r="J566" s="5"/>
      <c r="K566" s="7" t="s">
        <v>1033</v>
      </c>
    </row>
    <row r="567" customFormat="false" ht="15" hidden="false" customHeight="false" outlineLevel="0" collapsed="false">
      <c r="A567" s="5" t="s">
        <v>565</v>
      </c>
      <c r="B567" s="5"/>
      <c r="C567" s="5" t="s">
        <v>1413</v>
      </c>
      <c r="D567" s="5"/>
      <c r="E567" s="5"/>
      <c r="F567" s="5" t="n">
        <v>0</v>
      </c>
      <c r="G567" s="5" t="s">
        <v>740</v>
      </c>
      <c r="H567" s="5" t="s">
        <v>71</v>
      </c>
      <c r="I567" s="5"/>
      <c r="J567" s="5"/>
      <c r="K567" s="7" t="s">
        <v>1033</v>
      </c>
    </row>
    <row r="568" customFormat="false" ht="15" hidden="false" customHeight="false" outlineLevel="0" collapsed="false">
      <c r="A568" s="5" t="s">
        <v>565</v>
      </c>
      <c r="B568" s="5"/>
      <c r="C568" s="5" t="s">
        <v>1414</v>
      </c>
      <c r="D568" s="5"/>
      <c r="E568" s="5"/>
      <c r="F568" s="5" t="n">
        <v>0</v>
      </c>
      <c r="G568" s="5" t="s">
        <v>740</v>
      </c>
      <c r="H568" s="5" t="s">
        <v>71</v>
      </c>
      <c r="I568" s="5"/>
      <c r="J568" s="5"/>
      <c r="K568" s="7" t="s">
        <v>1033</v>
      </c>
    </row>
    <row r="569" customFormat="false" ht="15" hidden="false" customHeight="false" outlineLevel="0" collapsed="false">
      <c r="A569" s="5" t="s">
        <v>565</v>
      </c>
      <c r="B569" s="5"/>
      <c r="C569" s="5" t="s">
        <v>1415</v>
      </c>
      <c r="D569" s="5"/>
      <c r="E569" s="5"/>
      <c r="F569" s="5" t="n">
        <v>0</v>
      </c>
      <c r="G569" s="5" t="s">
        <v>740</v>
      </c>
      <c r="H569" s="5" t="s">
        <v>71</v>
      </c>
      <c r="I569" s="5"/>
      <c r="J569" s="5"/>
      <c r="K569" s="7" t="s">
        <v>1033</v>
      </c>
    </row>
    <row r="570" customFormat="false" ht="15" hidden="false" customHeight="false" outlineLevel="0" collapsed="false">
      <c r="A570" s="5" t="s">
        <v>565</v>
      </c>
      <c r="B570" s="5"/>
      <c r="C570" s="5" t="s">
        <v>1416</v>
      </c>
      <c r="D570" s="5"/>
      <c r="E570" s="5"/>
      <c r="F570" s="5" t="n">
        <v>0</v>
      </c>
      <c r="G570" s="5" t="s">
        <v>740</v>
      </c>
      <c r="H570" s="5" t="s">
        <v>71</v>
      </c>
      <c r="I570" s="5"/>
      <c r="J570" s="5"/>
      <c r="K570" s="7" t="s">
        <v>1033</v>
      </c>
    </row>
    <row r="571" customFormat="false" ht="15" hidden="false" customHeight="false" outlineLevel="0" collapsed="false">
      <c r="A571" s="5" t="s">
        <v>565</v>
      </c>
      <c r="B571" s="5"/>
      <c r="C571" s="5" t="s">
        <v>1417</v>
      </c>
      <c r="D571" s="5"/>
      <c r="E571" s="5"/>
      <c r="F571" s="5" t="n">
        <v>0</v>
      </c>
      <c r="G571" s="5" t="s">
        <v>740</v>
      </c>
      <c r="H571" s="5" t="s">
        <v>71</v>
      </c>
      <c r="I571" s="5"/>
      <c r="J571" s="5"/>
      <c r="K571" s="7" t="s">
        <v>1033</v>
      </c>
    </row>
    <row r="572" customFormat="false" ht="15" hidden="false" customHeight="false" outlineLevel="0" collapsed="false">
      <c r="A572" s="5" t="s">
        <v>565</v>
      </c>
      <c r="B572" s="5"/>
      <c r="C572" s="5" t="s">
        <v>1418</v>
      </c>
      <c r="D572" s="5"/>
      <c r="E572" s="5"/>
      <c r="F572" s="5" t="n">
        <v>0</v>
      </c>
      <c r="G572" s="5" t="s">
        <v>740</v>
      </c>
      <c r="H572" s="5" t="s">
        <v>71</v>
      </c>
      <c r="I572" s="5"/>
      <c r="J572" s="5"/>
      <c r="K572" s="7" t="s">
        <v>1033</v>
      </c>
    </row>
    <row r="573" customFormat="false" ht="15" hidden="false" customHeight="false" outlineLevel="0" collapsed="false">
      <c r="A573" s="5" t="s">
        <v>565</v>
      </c>
      <c r="B573" s="5"/>
      <c r="C573" s="5" t="s">
        <v>1419</v>
      </c>
      <c r="D573" s="5"/>
      <c r="E573" s="5"/>
      <c r="F573" s="5" t="n">
        <v>0</v>
      </c>
      <c r="G573" s="5" t="s">
        <v>740</v>
      </c>
      <c r="H573" s="5" t="s">
        <v>71</v>
      </c>
      <c r="I573" s="5"/>
      <c r="J573" s="5"/>
      <c r="K573" s="7" t="s">
        <v>1033</v>
      </c>
    </row>
    <row r="574" customFormat="false" ht="15" hidden="false" customHeight="false" outlineLevel="0" collapsed="false">
      <c r="A574" s="5" t="s">
        <v>565</v>
      </c>
      <c r="B574" s="5"/>
      <c r="C574" s="5" t="s">
        <v>1420</v>
      </c>
      <c r="D574" s="5"/>
      <c r="E574" s="5"/>
      <c r="F574" s="5" t="n">
        <v>0</v>
      </c>
      <c r="G574" s="5" t="s">
        <v>740</v>
      </c>
      <c r="H574" s="5" t="s">
        <v>71</v>
      </c>
      <c r="I574" s="5"/>
      <c r="J574" s="5"/>
      <c r="K574" s="7" t="s">
        <v>1033</v>
      </c>
    </row>
    <row r="575" customFormat="false" ht="15" hidden="false" customHeight="false" outlineLevel="0" collapsed="false">
      <c r="A575" s="5" t="s">
        <v>565</v>
      </c>
      <c r="B575" s="5"/>
      <c r="C575" s="5" t="s">
        <v>1421</v>
      </c>
      <c r="D575" s="5"/>
      <c r="E575" s="5"/>
      <c r="F575" s="5" t="n">
        <v>0</v>
      </c>
      <c r="G575" s="5" t="s">
        <v>740</v>
      </c>
      <c r="H575" s="5" t="s">
        <v>71</v>
      </c>
      <c r="I575" s="5"/>
      <c r="J575" s="5"/>
      <c r="K575" s="7" t="s">
        <v>1033</v>
      </c>
    </row>
    <row r="576" customFormat="false" ht="15" hidden="false" customHeight="false" outlineLevel="0" collapsed="false">
      <c r="A576" s="5" t="s">
        <v>565</v>
      </c>
      <c r="B576" s="5"/>
      <c r="C576" s="5" t="s">
        <v>1422</v>
      </c>
      <c r="D576" s="5"/>
      <c r="E576" s="5"/>
      <c r="F576" s="5" t="n">
        <v>0</v>
      </c>
      <c r="G576" s="5" t="s">
        <v>740</v>
      </c>
      <c r="H576" s="5" t="s">
        <v>71</v>
      </c>
      <c r="I576" s="5"/>
      <c r="J576" s="5"/>
      <c r="K576" s="7" t="s">
        <v>1033</v>
      </c>
    </row>
    <row r="577" customFormat="false" ht="15" hidden="false" customHeight="false" outlineLevel="0" collapsed="false">
      <c r="A577" s="5" t="s">
        <v>565</v>
      </c>
      <c r="B577" s="5"/>
      <c r="C577" s="5" t="s">
        <v>1423</v>
      </c>
      <c r="D577" s="5"/>
      <c r="E577" s="5"/>
      <c r="F577" s="5" t="n">
        <v>0</v>
      </c>
      <c r="G577" s="5" t="s">
        <v>740</v>
      </c>
      <c r="H577" s="5" t="s">
        <v>71</v>
      </c>
      <c r="I577" s="5"/>
      <c r="J577" s="5"/>
      <c r="K577" s="7" t="s">
        <v>1033</v>
      </c>
    </row>
    <row r="578" customFormat="false" ht="15" hidden="false" customHeight="false" outlineLevel="0" collapsed="false">
      <c r="A578" s="5" t="s">
        <v>565</v>
      </c>
      <c r="B578" s="5"/>
      <c r="C578" s="5" t="s">
        <v>1424</v>
      </c>
      <c r="D578" s="5"/>
      <c r="E578" s="5"/>
      <c r="F578" s="5" t="n">
        <v>0</v>
      </c>
      <c r="G578" s="5" t="s">
        <v>740</v>
      </c>
      <c r="H578" s="5" t="s">
        <v>71</v>
      </c>
      <c r="I578" s="5"/>
      <c r="J578" s="5"/>
      <c r="K578" s="7" t="s">
        <v>1033</v>
      </c>
    </row>
    <row r="579" customFormat="false" ht="15" hidden="false" customHeight="false" outlineLevel="0" collapsed="false">
      <c r="A579" s="5" t="s">
        <v>565</v>
      </c>
      <c r="B579" s="5"/>
      <c r="C579" s="5" t="s">
        <v>1425</v>
      </c>
      <c r="D579" s="5"/>
      <c r="E579" s="5"/>
      <c r="F579" s="5" t="n">
        <v>0</v>
      </c>
      <c r="G579" s="5" t="s">
        <v>740</v>
      </c>
      <c r="H579" s="5" t="s">
        <v>71</v>
      </c>
      <c r="I579" s="5"/>
      <c r="J579" s="5"/>
      <c r="K579" s="7" t="s">
        <v>1033</v>
      </c>
    </row>
    <row r="580" customFormat="false" ht="15" hidden="false" customHeight="false" outlineLevel="0" collapsed="false">
      <c r="A580" s="5" t="s">
        <v>565</v>
      </c>
      <c r="B580" s="5"/>
      <c r="C580" s="5" t="s">
        <v>1426</v>
      </c>
      <c r="D580" s="5"/>
      <c r="E580" s="5"/>
      <c r="F580" s="5" t="n">
        <v>0</v>
      </c>
      <c r="G580" s="5" t="s">
        <v>740</v>
      </c>
      <c r="H580" s="5" t="s">
        <v>71</v>
      </c>
      <c r="I580" s="5"/>
      <c r="J580" s="5"/>
      <c r="K580" s="7" t="s">
        <v>1033</v>
      </c>
    </row>
    <row r="581" customFormat="false" ht="15" hidden="false" customHeight="false" outlineLevel="0" collapsed="false">
      <c r="A581" s="5" t="s">
        <v>565</v>
      </c>
      <c r="B581" s="5"/>
      <c r="C581" s="5" t="s">
        <v>1427</v>
      </c>
      <c r="D581" s="5"/>
      <c r="E581" s="5"/>
      <c r="F581" s="5" t="n">
        <v>0</v>
      </c>
      <c r="G581" s="5" t="s">
        <v>740</v>
      </c>
      <c r="H581" s="5" t="s">
        <v>71</v>
      </c>
      <c r="I581" s="5"/>
      <c r="J581" s="5"/>
      <c r="K581" s="7" t="s">
        <v>1033</v>
      </c>
    </row>
    <row r="582" customFormat="false" ht="15" hidden="false" customHeight="false" outlineLevel="0" collapsed="false">
      <c r="A582" s="5" t="s">
        <v>565</v>
      </c>
      <c r="B582" s="5"/>
      <c r="C582" s="5" t="s">
        <v>1428</v>
      </c>
      <c r="D582" s="5"/>
      <c r="E582" s="5"/>
      <c r="F582" s="5" t="n">
        <v>0</v>
      </c>
      <c r="G582" s="5" t="s">
        <v>740</v>
      </c>
      <c r="H582" s="5" t="s">
        <v>71</v>
      </c>
      <c r="I582" s="5"/>
      <c r="J582" s="5"/>
      <c r="K582" s="7" t="s">
        <v>1033</v>
      </c>
    </row>
    <row r="583" customFormat="false" ht="15" hidden="false" customHeight="false" outlineLevel="0" collapsed="false">
      <c r="A583" s="5" t="s">
        <v>565</v>
      </c>
      <c r="B583" s="5"/>
      <c r="C583" s="5" t="s">
        <v>1429</v>
      </c>
      <c r="D583" s="5"/>
      <c r="E583" s="5"/>
      <c r="F583" s="5" t="n">
        <v>0</v>
      </c>
      <c r="G583" s="5" t="s">
        <v>740</v>
      </c>
      <c r="H583" s="5" t="s">
        <v>71</v>
      </c>
      <c r="I583" s="5"/>
      <c r="J583" s="5"/>
      <c r="K583" s="7" t="s">
        <v>1033</v>
      </c>
    </row>
    <row r="584" customFormat="false" ht="15" hidden="false" customHeight="false" outlineLevel="0" collapsed="false">
      <c r="A584" s="5" t="s">
        <v>565</v>
      </c>
      <c r="B584" s="5"/>
      <c r="C584" s="5" t="s">
        <v>1430</v>
      </c>
      <c r="D584" s="5"/>
      <c r="E584" s="5"/>
      <c r="F584" s="5" t="n">
        <v>0</v>
      </c>
      <c r="G584" s="5" t="s">
        <v>740</v>
      </c>
      <c r="H584" s="5" t="s">
        <v>71</v>
      </c>
      <c r="I584" s="5"/>
      <c r="J584" s="5"/>
      <c r="K584" s="7" t="s">
        <v>1033</v>
      </c>
    </row>
    <row r="585" customFormat="false" ht="15" hidden="false" customHeight="false" outlineLevel="0" collapsed="false">
      <c r="A585" s="5" t="s">
        <v>565</v>
      </c>
      <c r="B585" s="5"/>
      <c r="C585" s="5" t="s">
        <v>1431</v>
      </c>
      <c r="D585" s="5"/>
      <c r="E585" s="5"/>
      <c r="F585" s="5" t="n">
        <v>0</v>
      </c>
      <c r="G585" s="5" t="s">
        <v>740</v>
      </c>
      <c r="H585" s="5" t="s">
        <v>71</v>
      </c>
      <c r="I585" s="5"/>
      <c r="J585" s="5"/>
      <c r="K585" s="7" t="s">
        <v>1033</v>
      </c>
    </row>
    <row r="586" customFormat="false" ht="15" hidden="false" customHeight="false" outlineLevel="0" collapsed="false">
      <c r="A586" s="5" t="s">
        <v>565</v>
      </c>
      <c r="B586" s="5"/>
      <c r="C586" s="5" t="s">
        <v>1432</v>
      </c>
      <c r="D586" s="5"/>
      <c r="E586" s="5"/>
      <c r="F586" s="5" t="n">
        <v>0</v>
      </c>
      <c r="G586" s="5" t="s">
        <v>740</v>
      </c>
      <c r="H586" s="5" t="s">
        <v>71</v>
      </c>
      <c r="I586" s="5"/>
      <c r="J586" s="5"/>
      <c r="K586" s="7" t="s">
        <v>1033</v>
      </c>
    </row>
    <row r="587" customFormat="false" ht="15" hidden="false" customHeight="false" outlineLevel="0" collapsed="false">
      <c r="A587" s="5" t="s">
        <v>565</v>
      </c>
      <c r="B587" s="5"/>
      <c r="C587" s="5" t="s">
        <v>1433</v>
      </c>
      <c r="D587" s="5"/>
      <c r="E587" s="5"/>
      <c r="F587" s="5" t="n">
        <v>0</v>
      </c>
      <c r="G587" s="5" t="s">
        <v>740</v>
      </c>
      <c r="H587" s="5" t="s">
        <v>71</v>
      </c>
      <c r="I587" s="5"/>
      <c r="J587" s="5"/>
      <c r="K587" s="7" t="s">
        <v>1033</v>
      </c>
    </row>
    <row r="588" customFormat="false" ht="15" hidden="false" customHeight="false" outlineLevel="0" collapsed="false">
      <c r="A588" s="5" t="s">
        <v>565</v>
      </c>
      <c r="B588" s="5"/>
      <c r="C588" s="5" t="s">
        <v>1434</v>
      </c>
      <c r="D588" s="5"/>
      <c r="E588" s="5"/>
      <c r="F588" s="5" t="n">
        <v>0</v>
      </c>
      <c r="G588" s="5" t="s">
        <v>740</v>
      </c>
      <c r="H588" s="5" t="s">
        <v>71</v>
      </c>
      <c r="I588" s="5"/>
      <c r="J588" s="5"/>
      <c r="K588" s="7" t="s">
        <v>1033</v>
      </c>
    </row>
    <row r="589" customFormat="false" ht="15" hidden="false" customHeight="false" outlineLevel="0" collapsed="false">
      <c r="A589" s="5" t="s">
        <v>565</v>
      </c>
      <c r="B589" s="5"/>
      <c r="C589" s="5" t="s">
        <v>1435</v>
      </c>
      <c r="D589" s="5"/>
      <c r="E589" s="5"/>
      <c r="F589" s="5" t="n">
        <v>0</v>
      </c>
      <c r="G589" s="5" t="s">
        <v>740</v>
      </c>
      <c r="H589" s="5" t="s">
        <v>71</v>
      </c>
      <c r="I589" s="5"/>
      <c r="J589" s="5"/>
      <c r="K589" s="7" t="s">
        <v>1033</v>
      </c>
    </row>
    <row r="590" customFormat="false" ht="15" hidden="false" customHeight="false" outlineLevel="0" collapsed="false">
      <c r="A590" s="5" t="s">
        <v>565</v>
      </c>
      <c r="B590" s="5"/>
      <c r="C590" s="5" t="s">
        <v>1436</v>
      </c>
      <c r="D590" s="5"/>
      <c r="E590" s="5"/>
      <c r="F590" s="5" t="n">
        <v>0</v>
      </c>
      <c r="G590" s="5" t="s">
        <v>740</v>
      </c>
      <c r="H590" s="5" t="s">
        <v>71</v>
      </c>
      <c r="I590" s="5"/>
      <c r="J590" s="5"/>
      <c r="K590" s="7" t="s">
        <v>1033</v>
      </c>
    </row>
    <row r="591" customFormat="false" ht="15" hidden="false" customHeight="false" outlineLevel="0" collapsed="false">
      <c r="A591" s="5" t="s">
        <v>565</v>
      </c>
      <c r="B591" s="5"/>
      <c r="C591" s="5" t="s">
        <v>1437</v>
      </c>
      <c r="D591" s="5"/>
      <c r="E591" s="5"/>
      <c r="F591" s="5" t="n">
        <v>0</v>
      </c>
      <c r="G591" s="5" t="s">
        <v>740</v>
      </c>
      <c r="H591" s="5" t="s">
        <v>71</v>
      </c>
      <c r="I591" s="5"/>
      <c r="J591" s="5"/>
      <c r="K591" s="7" t="s">
        <v>1033</v>
      </c>
    </row>
    <row r="592" customFormat="false" ht="15" hidden="false" customHeight="false" outlineLevel="0" collapsed="false">
      <c r="A592" s="5" t="s">
        <v>565</v>
      </c>
      <c r="B592" s="5"/>
      <c r="C592" s="5" t="s">
        <v>1438</v>
      </c>
      <c r="D592" s="5"/>
      <c r="E592" s="5"/>
      <c r="F592" s="5" t="n">
        <v>0</v>
      </c>
      <c r="G592" s="5" t="s">
        <v>740</v>
      </c>
      <c r="H592" s="5" t="s">
        <v>71</v>
      </c>
      <c r="I592" s="5"/>
      <c r="J592" s="5"/>
      <c r="K592" s="7" t="s">
        <v>1033</v>
      </c>
    </row>
    <row r="593" customFormat="false" ht="15" hidden="false" customHeight="false" outlineLevel="0" collapsed="false">
      <c r="A593" s="5" t="s">
        <v>565</v>
      </c>
      <c r="B593" s="5"/>
      <c r="C593" s="5" t="s">
        <v>1439</v>
      </c>
      <c r="D593" s="5"/>
      <c r="E593" s="5"/>
      <c r="F593" s="5" t="n">
        <v>0</v>
      </c>
      <c r="G593" s="5" t="s">
        <v>740</v>
      </c>
      <c r="H593" s="5" t="s">
        <v>71</v>
      </c>
      <c r="I593" s="5"/>
      <c r="J593" s="5"/>
      <c r="K593" s="7" t="s">
        <v>1033</v>
      </c>
    </row>
    <row r="594" customFormat="false" ht="15" hidden="false" customHeight="false" outlineLevel="0" collapsed="false">
      <c r="A594" s="5" t="s">
        <v>565</v>
      </c>
      <c r="B594" s="5"/>
      <c r="C594" s="5" t="s">
        <v>1440</v>
      </c>
      <c r="D594" s="5"/>
      <c r="E594" s="5"/>
      <c r="F594" s="5" t="n">
        <v>0</v>
      </c>
      <c r="G594" s="5" t="s">
        <v>740</v>
      </c>
      <c r="H594" s="5" t="s">
        <v>71</v>
      </c>
      <c r="I594" s="5"/>
      <c r="J594" s="5"/>
      <c r="K594" s="7" t="s">
        <v>1033</v>
      </c>
    </row>
    <row r="595" customFormat="false" ht="15" hidden="false" customHeight="false" outlineLevel="0" collapsed="false">
      <c r="A595" s="5" t="s">
        <v>565</v>
      </c>
      <c r="B595" s="5"/>
      <c r="C595" s="5" t="s">
        <v>1441</v>
      </c>
      <c r="D595" s="5"/>
      <c r="E595" s="5"/>
      <c r="F595" s="5" t="n">
        <v>0</v>
      </c>
      <c r="G595" s="5" t="s">
        <v>740</v>
      </c>
      <c r="H595" s="5" t="s">
        <v>71</v>
      </c>
      <c r="I595" s="5"/>
      <c r="J595" s="5"/>
      <c r="K595" s="7" t="s">
        <v>1033</v>
      </c>
    </row>
    <row r="596" customFormat="false" ht="15" hidden="false" customHeight="false" outlineLevel="0" collapsed="false">
      <c r="A596" s="5" t="s">
        <v>565</v>
      </c>
      <c r="B596" s="5"/>
      <c r="C596" s="5" t="s">
        <v>1442</v>
      </c>
      <c r="D596" s="5"/>
      <c r="E596" s="5"/>
      <c r="F596" s="5" t="n">
        <v>0</v>
      </c>
      <c r="G596" s="5" t="s">
        <v>740</v>
      </c>
      <c r="H596" s="5" t="s">
        <v>71</v>
      </c>
      <c r="I596" s="5"/>
      <c r="J596" s="5"/>
      <c r="K596" s="7" t="s">
        <v>1033</v>
      </c>
    </row>
    <row r="597" customFormat="false" ht="15" hidden="false" customHeight="false" outlineLevel="0" collapsed="false">
      <c r="A597" s="5" t="s">
        <v>565</v>
      </c>
      <c r="B597" s="5"/>
      <c r="C597" s="5" t="s">
        <v>1443</v>
      </c>
      <c r="D597" s="5"/>
      <c r="E597" s="5"/>
      <c r="F597" s="5" t="n">
        <v>0</v>
      </c>
      <c r="G597" s="5" t="s">
        <v>740</v>
      </c>
      <c r="H597" s="5" t="s">
        <v>71</v>
      </c>
      <c r="I597" s="5"/>
      <c r="J597" s="5"/>
      <c r="K597" s="7" t="s">
        <v>1033</v>
      </c>
    </row>
    <row r="598" customFormat="false" ht="15" hidden="false" customHeight="false" outlineLevel="0" collapsed="false">
      <c r="A598" s="5" t="s">
        <v>565</v>
      </c>
      <c r="B598" s="5"/>
      <c r="C598" s="5" t="s">
        <v>1444</v>
      </c>
      <c r="D598" s="5"/>
      <c r="E598" s="5"/>
      <c r="F598" s="5" t="n">
        <v>0</v>
      </c>
      <c r="G598" s="5" t="s">
        <v>740</v>
      </c>
      <c r="H598" s="5" t="s">
        <v>71</v>
      </c>
      <c r="I598" s="5"/>
      <c r="J598" s="5"/>
      <c r="K598" s="7" t="s">
        <v>1033</v>
      </c>
    </row>
    <row r="599" customFormat="false" ht="15" hidden="false" customHeight="false" outlineLevel="0" collapsed="false">
      <c r="A599" s="5" t="s">
        <v>565</v>
      </c>
      <c r="B599" s="5"/>
      <c r="C599" s="5" t="s">
        <v>1445</v>
      </c>
      <c r="D599" s="5"/>
      <c r="E599" s="5"/>
      <c r="F599" s="5" t="n">
        <v>0</v>
      </c>
      <c r="G599" s="5" t="s">
        <v>740</v>
      </c>
      <c r="H599" s="5" t="s">
        <v>71</v>
      </c>
      <c r="I599" s="5"/>
      <c r="J599" s="5"/>
      <c r="K599" s="7" t="s">
        <v>1033</v>
      </c>
    </row>
    <row r="600" customFormat="false" ht="15" hidden="false" customHeight="false" outlineLevel="0" collapsed="false">
      <c r="A600" s="5" t="s">
        <v>565</v>
      </c>
      <c r="B600" s="5"/>
      <c r="C600" s="5" t="s">
        <v>1446</v>
      </c>
      <c r="D600" s="5"/>
      <c r="E600" s="5"/>
      <c r="F600" s="5" t="n">
        <v>0</v>
      </c>
      <c r="G600" s="5" t="s">
        <v>740</v>
      </c>
      <c r="H600" s="5" t="s">
        <v>71</v>
      </c>
      <c r="I600" s="5"/>
      <c r="J600" s="5"/>
      <c r="K600" s="7" t="s">
        <v>1033</v>
      </c>
    </row>
    <row r="601" customFormat="false" ht="15" hidden="false" customHeight="false" outlineLevel="0" collapsed="false">
      <c r="A601" s="5" t="s">
        <v>565</v>
      </c>
      <c r="B601" s="5"/>
      <c r="C601" s="5" t="s">
        <v>1447</v>
      </c>
      <c r="D601" s="5"/>
      <c r="E601" s="5"/>
      <c r="F601" s="5" t="n">
        <v>0</v>
      </c>
      <c r="G601" s="5" t="s">
        <v>740</v>
      </c>
      <c r="H601" s="5" t="s">
        <v>71</v>
      </c>
      <c r="I601" s="5"/>
      <c r="J601" s="5"/>
      <c r="K601" s="7" t="s">
        <v>1033</v>
      </c>
    </row>
    <row r="602" customFormat="false" ht="15" hidden="false" customHeight="false" outlineLevel="0" collapsed="false">
      <c r="A602" s="5" t="s">
        <v>565</v>
      </c>
      <c r="B602" s="5"/>
      <c r="C602" s="5" t="s">
        <v>1448</v>
      </c>
      <c r="D602" s="5"/>
      <c r="E602" s="5"/>
      <c r="F602" s="5" t="n">
        <v>0</v>
      </c>
      <c r="G602" s="5" t="s">
        <v>740</v>
      </c>
      <c r="H602" s="5" t="s">
        <v>71</v>
      </c>
      <c r="I602" s="5"/>
      <c r="J602" s="5"/>
      <c r="K602" s="7" t="s">
        <v>1033</v>
      </c>
    </row>
    <row r="603" customFormat="false" ht="15" hidden="false" customHeight="false" outlineLevel="0" collapsed="false">
      <c r="A603" s="5" t="s">
        <v>565</v>
      </c>
      <c r="B603" s="5"/>
      <c r="C603" s="5" t="s">
        <v>1449</v>
      </c>
      <c r="D603" s="5"/>
      <c r="E603" s="5"/>
      <c r="F603" s="5" t="n">
        <v>0</v>
      </c>
      <c r="G603" s="5" t="s">
        <v>740</v>
      </c>
      <c r="H603" s="5" t="s">
        <v>71</v>
      </c>
      <c r="I603" s="5"/>
      <c r="J603" s="5"/>
      <c r="K603" s="7" t="s">
        <v>1033</v>
      </c>
    </row>
    <row r="604" customFormat="false" ht="15" hidden="false" customHeight="false" outlineLevel="0" collapsed="false">
      <c r="A604" s="5" t="s">
        <v>565</v>
      </c>
      <c r="B604" s="5"/>
      <c r="C604" s="5" t="s">
        <v>1450</v>
      </c>
      <c r="D604" s="5"/>
      <c r="E604" s="5"/>
      <c r="F604" s="5" t="n">
        <v>0</v>
      </c>
      <c r="G604" s="5" t="s">
        <v>740</v>
      </c>
      <c r="H604" s="5" t="s">
        <v>71</v>
      </c>
      <c r="I604" s="5"/>
      <c r="J604" s="5"/>
      <c r="K604" s="7" t="s">
        <v>1033</v>
      </c>
    </row>
    <row r="605" customFormat="false" ht="15" hidden="false" customHeight="false" outlineLevel="0" collapsed="false">
      <c r="A605" s="5" t="s">
        <v>565</v>
      </c>
      <c r="B605" s="5"/>
      <c r="C605" s="5" t="s">
        <v>1451</v>
      </c>
      <c r="D605" s="5"/>
      <c r="E605" s="5"/>
      <c r="F605" s="5" t="n">
        <v>0</v>
      </c>
      <c r="G605" s="5" t="s">
        <v>740</v>
      </c>
      <c r="H605" s="5" t="s">
        <v>71</v>
      </c>
      <c r="I605" s="5"/>
      <c r="J605" s="5"/>
      <c r="K605" s="7" t="s">
        <v>1033</v>
      </c>
    </row>
    <row r="606" customFormat="false" ht="15" hidden="false" customHeight="false" outlineLevel="0" collapsed="false">
      <c r="A606" s="5" t="s">
        <v>565</v>
      </c>
      <c r="B606" s="5"/>
      <c r="C606" s="5" t="s">
        <v>1452</v>
      </c>
      <c r="D606" s="5"/>
      <c r="E606" s="5"/>
      <c r="F606" s="5" t="n">
        <v>0</v>
      </c>
      <c r="G606" s="5" t="s">
        <v>740</v>
      </c>
      <c r="H606" s="5" t="s">
        <v>71</v>
      </c>
      <c r="I606" s="5"/>
      <c r="J606" s="5"/>
      <c r="K606" s="7" t="s">
        <v>1033</v>
      </c>
    </row>
    <row r="607" customFormat="false" ht="15" hidden="false" customHeight="false" outlineLevel="0" collapsed="false">
      <c r="A607" s="5" t="s">
        <v>565</v>
      </c>
      <c r="B607" s="5"/>
      <c r="C607" s="5" t="s">
        <v>1453</v>
      </c>
      <c r="D607" s="5"/>
      <c r="E607" s="5"/>
      <c r="F607" s="5" t="n">
        <v>0</v>
      </c>
      <c r="G607" s="5" t="s">
        <v>740</v>
      </c>
      <c r="H607" s="5" t="s">
        <v>71</v>
      </c>
      <c r="I607" s="5"/>
      <c r="J607" s="5"/>
      <c r="K607" s="7" t="s">
        <v>1033</v>
      </c>
    </row>
    <row r="608" customFormat="false" ht="15" hidden="false" customHeight="false" outlineLevel="0" collapsed="false">
      <c r="A608" s="5" t="s">
        <v>565</v>
      </c>
      <c r="B608" s="5"/>
      <c r="C608" s="5" t="s">
        <v>1454</v>
      </c>
      <c r="D608" s="5"/>
      <c r="E608" s="5"/>
      <c r="F608" s="5" t="n">
        <v>0</v>
      </c>
      <c r="G608" s="5" t="s">
        <v>740</v>
      </c>
      <c r="H608" s="5" t="s">
        <v>71</v>
      </c>
      <c r="I608" s="5"/>
      <c r="J608" s="5"/>
      <c r="K608" s="7" t="s">
        <v>1033</v>
      </c>
    </row>
    <row r="609" customFormat="false" ht="15" hidden="false" customHeight="false" outlineLevel="0" collapsed="false">
      <c r="A609" s="5" t="s">
        <v>565</v>
      </c>
      <c r="B609" s="5"/>
      <c r="C609" s="5" t="s">
        <v>1455</v>
      </c>
      <c r="D609" s="5"/>
      <c r="E609" s="5"/>
      <c r="F609" s="5" t="n">
        <v>0</v>
      </c>
      <c r="G609" s="5" t="s">
        <v>740</v>
      </c>
      <c r="H609" s="5" t="s">
        <v>71</v>
      </c>
      <c r="I609" s="5"/>
      <c r="J609" s="5"/>
      <c r="K609" s="7" t="s">
        <v>1033</v>
      </c>
    </row>
    <row r="610" customFormat="false" ht="15" hidden="false" customHeight="false" outlineLevel="0" collapsed="false">
      <c r="A610" s="5" t="s">
        <v>565</v>
      </c>
      <c r="B610" s="5"/>
      <c r="C610" s="5" t="s">
        <v>1456</v>
      </c>
      <c r="D610" s="5"/>
      <c r="E610" s="5"/>
      <c r="F610" s="5" t="n">
        <v>0</v>
      </c>
      <c r="G610" s="5" t="s">
        <v>740</v>
      </c>
      <c r="H610" s="5" t="s">
        <v>71</v>
      </c>
      <c r="I610" s="5"/>
      <c r="J610" s="5"/>
      <c r="K610" s="7" t="s">
        <v>1033</v>
      </c>
    </row>
    <row r="611" customFormat="false" ht="15" hidden="false" customHeight="false" outlineLevel="0" collapsed="false">
      <c r="A611" s="5" t="s">
        <v>565</v>
      </c>
      <c r="B611" s="5"/>
      <c r="C611" s="5" t="s">
        <v>1457</v>
      </c>
      <c r="D611" s="5"/>
      <c r="E611" s="5"/>
      <c r="F611" s="5" t="n">
        <v>0</v>
      </c>
      <c r="G611" s="5" t="s">
        <v>740</v>
      </c>
      <c r="H611" s="5" t="s">
        <v>71</v>
      </c>
      <c r="I611" s="5"/>
      <c r="J611" s="5"/>
      <c r="K611" s="7" t="s">
        <v>1033</v>
      </c>
    </row>
    <row r="612" customFormat="false" ht="15" hidden="false" customHeight="false" outlineLevel="0" collapsed="false">
      <c r="A612" s="5" t="s">
        <v>565</v>
      </c>
      <c r="B612" s="5"/>
      <c r="C612" s="5" t="s">
        <v>1458</v>
      </c>
      <c r="D612" s="5"/>
      <c r="E612" s="5"/>
      <c r="F612" s="5" t="n">
        <v>0</v>
      </c>
      <c r="G612" s="5" t="s">
        <v>740</v>
      </c>
      <c r="H612" s="5" t="s">
        <v>71</v>
      </c>
      <c r="I612" s="5"/>
      <c r="J612" s="5"/>
      <c r="K612" s="7" t="s">
        <v>1033</v>
      </c>
    </row>
    <row r="613" customFormat="false" ht="15" hidden="false" customHeight="false" outlineLevel="0" collapsed="false">
      <c r="A613" s="5" t="s">
        <v>565</v>
      </c>
      <c r="B613" s="5"/>
      <c r="C613" s="5" t="s">
        <v>1459</v>
      </c>
      <c r="D613" s="5"/>
      <c r="E613" s="5"/>
      <c r="F613" s="5" t="n">
        <v>0</v>
      </c>
      <c r="G613" s="5" t="s">
        <v>740</v>
      </c>
      <c r="H613" s="5" t="s">
        <v>71</v>
      </c>
      <c r="I613" s="5"/>
      <c r="J613" s="5"/>
      <c r="K613" s="7" t="s">
        <v>1033</v>
      </c>
    </row>
    <row r="614" customFormat="false" ht="15" hidden="false" customHeight="false" outlineLevel="0" collapsed="false">
      <c r="A614" s="5" t="s">
        <v>565</v>
      </c>
      <c r="B614" s="5"/>
      <c r="C614" s="5" t="s">
        <v>1460</v>
      </c>
      <c r="D614" s="5"/>
      <c r="E614" s="5"/>
      <c r="F614" s="5" t="n">
        <v>0</v>
      </c>
      <c r="G614" s="5" t="s">
        <v>740</v>
      </c>
      <c r="H614" s="5" t="s">
        <v>71</v>
      </c>
      <c r="I614" s="5"/>
      <c r="J614" s="5"/>
      <c r="K614" s="7" t="s">
        <v>1033</v>
      </c>
    </row>
    <row r="615" customFormat="false" ht="15" hidden="false" customHeight="false" outlineLevel="0" collapsed="false">
      <c r="A615" s="5" t="s">
        <v>565</v>
      </c>
      <c r="B615" s="5"/>
      <c r="C615" s="5" t="s">
        <v>1461</v>
      </c>
      <c r="D615" s="5"/>
      <c r="E615" s="5"/>
      <c r="F615" s="5" t="n">
        <v>0</v>
      </c>
      <c r="G615" s="5" t="s">
        <v>740</v>
      </c>
      <c r="H615" s="5" t="s">
        <v>71</v>
      </c>
      <c r="I615" s="5"/>
      <c r="J615" s="5"/>
      <c r="K615" s="7" t="s">
        <v>1033</v>
      </c>
    </row>
    <row r="616" customFormat="false" ht="15" hidden="false" customHeight="false" outlineLevel="0" collapsed="false">
      <c r="A616" s="5" t="s">
        <v>1462</v>
      </c>
      <c r="B616" s="5"/>
      <c r="C616" s="5" t="s">
        <v>1463</v>
      </c>
      <c r="D616" s="5" t="s">
        <v>1464</v>
      </c>
      <c r="E616" s="5"/>
      <c r="F616" s="5" t="n">
        <v>0</v>
      </c>
      <c r="G616" s="5" t="s">
        <v>740</v>
      </c>
      <c r="H616" s="5" t="s">
        <v>71</v>
      </c>
      <c r="I616" s="5"/>
      <c r="J616" s="5"/>
      <c r="K616" s="5"/>
    </row>
    <row r="617" customFormat="false" ht="15" hidden="false" customHeight="false" outlineLevel="0" collapsed="false">
      <c r="A617" s="5" t="s">
        <v>1462</v>
      </c>
      <c r="B617" s="5"/>
      <c r="C617" s="5" t="s">
        <v>1465</v>
      </c>
      <c r="D617" s="5" t="s">
        <v>1466</v>
      </c>
      <c r="E617" s="5"/>
      <c r="F617" s="5" t="n">
        <v>0</v>
      </c>
      <c r="G617" s="5" t="s">
        <v>740</v>
      </c>
      <c r="H617" s="5" t="s">
        <v>71</v>
      </c>
      <c r="I617" s="5"/>
      <c r="J617" s="5"/>
      <c r="K617" s="5"/>
    </row>
    <row r="618" customFormat="false" ht="15" hidden="false" customHeight="false" outlineLevel="0" collapsed="false">
      <c r="A618" s="5" t="s">
        <v>1462</v>
      </c>
      <c r="B618" s="5"/>
      <c r="C618" s="5" t="s">
        <v>1467</v>
      </c>
      <c r="D618" s="5" t="s">
        <v>1468</v>
      </c>
      <c r="E618" s="5"/>
      <c r="F618" s="5" t="n">
        <v>0</v>
      </c>
      <c r="G618" s="5" t="s">
        <v>740</v>
      </c>
      <c r="H618" s="5" t="s">
        <v>71</v>
      </c>
      <c r="I618" s="5"/>
      <c r="J618" s="5"/>
      <c r="K618" s="5"/>
    </row>
    <row r="619" customFormat="false" ht="15" hidden="false" customHeight="false" outlineLevel="0" collapsed="false">
      <c r="A619" s="5" t="s">
        <v>1462</v>
      </c>
      <c r="B619" s="5"/>
      <c r="C619" s="5" t="s">
        <v>1469</v>
      </c>
      <c r="D619" s="5" t="s">
        <v>1470</v>
      </c>
      <c r="E619" s="5"/>
      <c r="F619" s="5" t="n">
        <v>0</v>
      </c>
      <c r="G619" s="5" t="s">
        <v>740</v>
      </c>
      <c r="H619" s="5" t="s">
        <v>71</v>
      </c>
      <c r="I619" s="5"/>
      <c r="J619" s="5"/>
      <c r="K619" s="5"/>
    </row>
    <row r="620" customFormat="false" ht="23.85" hidden="false" customHeight="false" outlineLevel="0" collapsed="false">
      <c r="A620" s="5" t="s">
        <v>1462</v>
      </c>
      <c r="B620" s="5"/>
      <c r="C620" s="5" t="s">
        <v>1471</v>
      </c>
      <c r="D620" s="5" t="s">
        <v>1472</v>
      </c>
      <c r="E620" s="5"/>
      <c r="F620" s="5" t="n">
        <v>0</v>
      </c>
      <c r="G620" s="5" t="s">
        <v>740</v>
      </c>
      <c r="H620" s="5" t="s">
        <v>71</v>
      </c>
      <c r="I620" s="5"/>
      <c r="J620" s="5"/>
      <c r="K620" s="5"/>
    </row>
    <row r="621" customFormat="false" ht="15" hidden="false" customHeight="false" outlineLevel="0" collapsed="false">
      <c r="A621" s="5" t="s">
        <v>1462</v>
      </c>
      <c r="B621" s="5"/>
      <c r="C621" s="5" t="s">
        <v>1473</v>
      </c>
      <c r="D621" s="5" t="s">
        <v>1474</v>
      </c>
      <c r="E621" s="5"/>
      <c r="F621" s="5" t="n">
        <v>0</v>
      </c>
      <c r="G621" s="5" t="s">
        <v>740</v>
      </c>
      <c r="H621" s="5" t="s">
        <v>71</v>
      </c>
      <c r="I621" s="5"/>
      <c r="J621" s="5"/>
      <c r="K621" s="5"/>
    </row>
    <row r="622" customFormat="false" ht="15" hidden="false" customHeight="false" outlineLevel="0" collapsed="false">
      <c r="A622" s="5" t="s">
        <v>1462</v>
      </c>
      <c r="B622" s="5"/>
      <c r="C622" s="5" t="s">
        <v>1475</v>
      </c>
      <c r="D622" s="5" t="s">
        <v>1476</v>
      </c>
      <c r="E622" s="5"/>
      <c r="F622" s="5" t="n">
        <v>0</v>
      </c>
      <c r="G622" s="5" t="s">
        <v>740</v>
      </c>
      <c r="H622" s="5" t="s">
        <v>71</v>
      </c>
      <c r="I622" s="5"/>
      <c r="J622" s="5"/>
      <c r="K622" s="5"/>
    </row>
    <row r="623" customFormat="false" ht="15" hidden="false" customHeight="false" outlineLevel="0" collapsed="false">
      <c r="A623" s="5" t="s">
        <v>1462</v>
      </c>
      <c r="B623" s="5"/>
      <c r="C623" s="5" t="s">
        <v>1477</v>
      </c>
      <c r="D623" s="5" t="s">
        <v>1478</v>
      </c>
      <c r="E623" s="5"/>
      <c r="F623" s="5" t="n">
        <v>0</v>
      </c>
      <c r="G623" s="5" t="s">
        <v>740</v>
      </c>
      <c r="H623" s="5" t="s">
        <v>71</v>
      </c>
      <c r="I623" s="5"/>
      <c r="J623" s="5"/>
      <c r="K623" s="5"/>
    </row>
    <row r="624" customFormat="false" ht="15" hidden="false" customHeight="false" outlineLevel="0" collapsed="false">
      <c r="A624" s="5" t="s">
        <v>1462</v>
      </c>
      <c r="B624" s="5"/>
      <c r="C624" s="5" t="s">
        <v>1479</v>
      </c>
      <c r="D624" s="5" t="s">
        <v>1480</v>
      </c>
      <c r="E624" s="5"/>
      <c r="F624" s="5" t="n">
        <v>0</v>
      </c>
      <c r="G624" s="5" t="s">
        <v>740</v>
      </c>
      <c r="H624" s="5" t="s">
        <v>71</v>
      </c>
      <c r="I624" s="5"/>
      <c r="J624" s="5"/>
      <c r="K624" s="5"/>
    </row>
    <row r="625" customFormat="false" ht="15" hidden="false" customHeight="false" outlineLevel="0" collapsed="false">
      <c r="A625" s="5" t="s">
        <v>1462</v>
      </c>
      <c r="B625" s="5"/>
      <c r="C625" s="5" t="s">
        <v>1481</v>
      </c>
      <c r="D625" s="5" t="s">
        <v>1482</v>
      </c>
      <c r="E625" s="5"/>
      <c r="F625" s="5" t="n">
        <v>0</v>
      </c>
      <c r="G625" s="5" t="s">
        <v>740</v>
      </c>
      <c r="H625" s="5" t="s">
        <v>71</v>
      </c>
      <c r="I625" s="5"/>
      <c r="J625" s="5"/>
      <c r="K625" s="5"/>
    </row>
    <row r="626" customFormat="false" ht="15" hidden="false" customHeight="false" outlineLevel="0" collapsed="false">
      <c r="A626" s="5" t="s">
        <v>1462</v>
      </c>
      <c r="B626" s="5"/>
      <c r="C626" s="5" t="s">
        <v>1483</v>
      </c>
      <c r="D626" s="5" t="s">
        <v>1484</v>
      </c>
      <c r="E626" s="5"/>
      <c r="F626" s="5" t="n">
        <v>0</v>
      </c>
      <c r="G626" s="5" t="s">
        <v>740</v>
      </c>
      <c r="H626" s="5" t="s">
        <v>71</v>
      </c>
      <c r="I626" s="5"/>
      <c r="J626" s="5"/>
      <c r="K626" s="5"/>
    </row>
    <row r="627" customFormat="false" ht="15" hidden="false" customHeight="false" outlineLevel="0" collapsed="false">
      <c r="A627" s="5" t="s">
        <v>1462</v>
      </c>
      <c r="B627" s="5"/>
      <c r="C627" s="5" t="s">
        <v>1485</v>
      </c>
      <c r="D627" s="5" t="s">
        <v>1464</v>
      </c>
      <c r="E627" s="5"/>
      <c r="F627" s="5" t="n">
        <v>0</v>
      </c>
      <c r="G627" s="5" t="s">
        <v>740</v>
      </c>
      <c r="H627" s="5" t="s">
        <v>71</v>
      </c>
      <c r="I627" s="5"/>
      <c r="J627" s="5"/>
      <c r="K627" s="5"/>
    </row>
    <row r="628" customFormat="false" ht="15" hidden="false" customHeight="false" outlineLevel="0" collapsed="false">
      <c r="A628" s="5" t="s">
        <v>1462</v>
      </c>
      <c r="B628" s="5"/>
      <c r="C628" s="5" t="s">
        <v>1486</v>
      </c>
      <c r="D628" s="5" t="s">
        <v>1466</v>
      </c>
      <c r="E628" s="5"/>
      <c r="F628" s="5" t="n">
        <v>0</v>
      </c>
      <c r="G628" s="5" t="s">
        <v>740</v>
      </c>
      <c r="H628" s="5" t="s">
        <v>71</v>
      </c>
      <c r="I628" s="5"/>
      <c r="J628" s="5"/>
      <c r="K628" s="5"/>
    </row>
    <row r="629" customFormat="false" ht="15" hidden="false" customHeight="false" outlineLevel="0" collapsed="false">
      <c r="A629" s="5" t="s">
        <v>1462</v>
      </c>
      <c r="B629" s="5"/>
      <c r="C629" s="5" t="s">
        <v>1487</v>
      </c>
      <c r="D629" s="5" t="s">
        <v>1468</v>
      </c>
      <c r="E629" s="5"/>
      <c r="F629" s="5" t="n">
        <v>0</v>
      </c>
      <c r="G629" s="5" t="s">
        <v>740</v>
      </c>
      <c r="H629" s="5" t="s">
        <v>71</v>
      </c>
      <c r="I629" s="5"/>
      <c r="J629" s="5"/>
      <c r="K629" s="5"/>
    </row>
    <row r="630" customFormat="false" ht="15" hidden="false" customHeight="false" outlineLevel="0" collapsed="false">
      <c r="A630" s="5" t="s">
        <v>1462</v>
      </c>
      <c r="B630" s="5"/>
      <c r="C630" s="5" t="s">
        <v>1488</v>
      </c>
      <c r="D630" s="5" t="s">
        <v>1470</v>
      </c>
      <c r="E630" s="5"/>
      <c r="F630" s="5" t="n">
        <v>0</v>
      </c>
      <c r="G630" s="5" t="s">
        <v>740</v>
      </c>
      <c r="H630" s="5" t="s">
        <v>71</v>
      </c>
      <c r="I630" s="5"/>
      <c r="J630" s="5"/>
      <c r="K630" s="5"/>
    </row>
    <row r="631" customFormat="false" ht="23.85" hidden="false" customHeight="false" outlineLevel="0" collapsed="false">
      <c r="A631" s="5" t="s">
        <v>1462</v>
      </c>
      <c r="B631" s="5"/>
      <c r="C631" s="5" t="s">
        <v>1489</v>
      </c>
      <c r="D631" s="5" t="s">
        <v>1490</v>
      </c>
      <c r="E631" s="5"/>
      <c r="F631" s="5" t="n">
        <v>0</v>
      </c>
      <c r="G631" s="5" t="s">
        <v>740</v>
      </c>
      <c r="H631" s="5" t="s">
        <v>71</v>
      </c>
      <c r="I631" s="5"/>
      <c r="J631" s="5"/>
      <c r="K631" s="5"/>
    </row>
    <row r="632" customFormat="false" ht="15" hidden="false" customHeight="false" outlineLevel="0" collapsed="false">
      <c r="A632" s="5" t="s">
        <v>1462</v>
      </c>
      <c r="B632" s="5"/>
      <c r="C632" s="5" t="s">
        <v>1491</v>
      </c>
      <c r="D632" s="5" t="s">
        <v>1474</v>
      </c>
      <c r="E632" s="5"/>
      <c r="F632" s="5" t="n">
        <v>0</v>
      </c>
      <c r="G632" s="5" t="s">
        <v>740</v>
      </c>
      <c r="H632" s="5" t="s">
        <v>71</v>
      </c>
      <c r="I632" s="5"/>
      <c r="J632" s="5"/>
      <c r="K632" s="5"/>
    </row>
    <row r="633" customFormat="false" ht="15" hidden="false" customHeight="false" outlineLevel="0" collapsed="false">
      <c r="A633" s="5" t="s">
        <v>1462</v>
      </c>
      <c r="B633" s="5"/>
      <c r="C633" s="5" t="s">
        <v>1492</v>
      </c>
      <c r="D633" s="5" t="s">
        <v>1476</v>
      </c>
      <c r="E633" s="5"/>
      <c r="F633" s="5" t="n">
        <v>0</v>
      </c>
      <c r="G633" s="5" t="s">
        <v>740</v>
      </c>
      <c r="H633" s="5" t="s">
        <v>71</v>
      </c>
      <c r="I633" s="5"/>
      <c r="J633" s="5"/>
      <c r="K633" s="5"/>
    </row>
    <row r="634" customFormat="false" ht="15" hidden="false" customHeight="false" outlineLevel="0" collapsed="false">
      <c r="A634" s="5" t="s">
        <v>1462</v>
      </c>
      <c r="B634" s="5"/>
      <c r="C634" s="5" t="s">
        <v>1493</v>
      </c>
      <c r="D634" s="5" t="s">
        <v>1478</v>
      </c>
      <c r="E634" s="5"/>
      <c r="F634" s="5" t="n">
        <v>0</v>
      </c>
      <c r="G634" s="5" t="s">
        <v>740</v>
      </c>
      <c r="H634" s="5" t="s">
        <v>71</v>
      </c>
      <c r="I634" s="5"/>
      <c r="J634" s="5"/>
      <c r="K634" s="5"/>
    </row>
    <row r="635" customFormat="false" ht="15" hidden="false" customHeight="false" outlineLevel="0" collapsed="false">
      <c r="A635" s="5" t="s">
        <v>1462</v>
      </c>
      <c r="B635" s="5"/>
      <c r="C635" s="5" t="s">
        <v>1494</v>
      </c>
      <c r="D635" s="5" t="s">
        <v>1480</v>
      </c>
      <c r="E635" s="5"/>
      <c r="F635" s="5" t="n">
        <v>0</v>
      </c>
      <c r="G635" s="5" t="s">
        <v>740</v>
      </c>
      <c r="H635" s="5" t="s">
        <v>71</v>
      </c>
      <c r="I635" s="5"/>
      <c r="J635" s="5"/>
      <c r="K635" s="5"/>
    </row>
    <row r="636" customFormat="false" ht="15" hidden="false" customHeight="false" outlineLevel="0" collapsed="false">
      <c r="A636" s="5" t="s">
        <v>1462</v>
      </c>
      <c r="B636" s="5"/>
      <c r="C636" s="5" t="s">
        <v>1495</v>
      </c>
      <c r="D636" s="5" t="s">
        <v>1482</v>
      </c>
      <c r="E636" s="5"/>
      <c r="F636" s="5" t="n">
        <v>0</v>
      </c>
      <c r="G636" s="5" t="s">
        <v>740</v>
      </c>
      <c r="H636" s="5" t="s">
        <v>71</v>
      </c>
      <c r="I636" s="5"/>
      <c r="J636" s="5"/>
      <c r="K636" s="5"/>
    </row>
    <row r="637" customFormat="false" ht="15" hidden="false" customHeight="false" outlineLevel="0" collapsed="false">
      <c r="A637" s="5" t="s">
        <v>1462</v>
      </c>
      <c r="B637" s="5"/>
      <c r="C637" s="5" t="s">
        <v>1496</v>
      </c>
      <c r="D637" s="5" t="s">
        <v>1497</v>
      </c>
      <c r="E637" s="5"/>
      <c r="F637" s="5" t="n">
        <v>0</v>
      </c>
      <c r="G637" s="5" t="s">
        <v>740</v>
      </c>
      <c r="H637" s="5" t="s">
        <v>71</v>
      </c>
      <c r="I637" s="5"/>
      <c r="J637" s="5"/>
      <c r="K637" s="5"/>
    </row>
    <row r="638" customFormat="false" ht="15" hidden="false" customHeight="false" outlineLevel="0" collapsed="false">
      <c r="A638" s="5" t="s">
        <v>1462</v>
      </c>
      <c r="B638" s="5"/>
      <c r="C638" s="5" t="s">
        <v>1498</v>
      </c>
      <c r="D638" s="5" t="s">
        <v>1499</v>
      </c>
      <c r="E638" s="5"/>
      <c r="F638" s="5" t="n">
        <v>0</v>
      </c>
      <c r="G638" s="5" t="s">
        <v>740</v>
      </c>
      <c r="H638" s="5" t="s">
        <v>71</v>
      </c>
      <c r="I638" s="5"/>
      <c r="J638" s="5"/>
      <c r="K638" s="7" t="s">
        <v>1500</v>
      </c>
    </row>
    <row r="639" customFormat="false" ht="15" hidden="false" customHeight="false" outlineLevel="0" collapsed="false">
      <c r="A639" s="5" t="s">
        <v>204</v>
      </c>
      <c r="B639" s="5"/>
      <c r="C639" s="5" t="s">
        <v>1501</v>
      </c>
      <c r="D639" s="5"/>
      <c r="E639" s="5"/>
      <c r="F639" s="5"/>
      <c r="G639" s="5" t="s">
        <v>1502</v>
      </c>
      <c r="H639" s="5"/>
      <c r="I639" s="5"/>
      <c r="J639" s="5"/>
      <c r="K639" s="5"/>
    </row>
    <row r="640" customFormat="false" ht="23.85" hidden="false" customHeight="false" outlineLevel="0" collapsed="false">
      <c r="A640" s="5" t="s">
        <v>214</v>
      </c>
      <c r="B640" s="5"/>
      <c r="C640" s="5" t="s">
        <v>1503</v>
      </c>
      <c r="D640" s="5"/>
      <c r="E640" s="5"/>
      <c r="F640" s="5"/>
      <c r="G640" s="5" t="s">
        <v>1502</v>
      </c>
      <c r="H640" s="5"/>
      <c r="I640" s="5"/>
      <c r="J640" s="5"/>
      <c r="K640" s="7" t="s">
        <v>1504</v>
      </c>
    </row>
    <row r="641" customFormat="false" ht="23.85" hidden="false" customHeight="false" outlineLevel="0" collapsed="false">
      <c r="A641" s="5" t="s">
        <v>1505</v>
      </c>
      <c r="B641" s="5"/>
      <c r="C641" s="5" t="s">
        <v>1506</v>
      </c>
      <c r="D641" s="5"/>
      <c r="E641" s="5"/>
      <c r="F641" s="5"/>
      <c r="G641" s="5" t="s">
        <v>277</v>
      </c>
      <c r="H641" s="5" t="s">
        <v>1024</v>
      </c>
      <c r="I641" s="5"/>
      <c r="J641" s="5"/>
      <c r="K641" s="7" t="s">
        <v>1507</v>
      </c>
    </row>
    <row r="642" customFormat="false" ht="23.85" hidden="false" customHeight="false" outlineLevel="0" collapsed="false">
      <c r="A642" s="5" t="s">
        <v>1508</v>
      </c>
      <c r="B642" s="5"/>
      <c r="C642" s="5" t="s">
        <v>1506</v>
      </c>
      <c r="D642" s="5"/>
      <c r="E642" s="5"/>
      <c r="F642" s="5"/>
      <c r="G642" s="5" t="s">
        <v>277</v>
      </c>
      <c r="H642" s="5" t="s">
        <v>1024</v>
      </c>
      <c r="I642" s="5"/>
      <c r="J642" s="5"/>
      <c r="K642" s="7" t="s">
        <v>1507</v>
      </c>
    </row>
    <row r="644" customFormat="false" ht="202.95" hidden="false" customHeight="false" outlineLevel="0" collapsed="false">
      <c r="A644" s="2" t="s">
        <v>1509</v>
      </c>
      <c r="B644" s="3" t="s">
        <v>1510</v>
      </c>
    </row>
  </sheetData>
  <autoFilter ref="A1:K6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16"/>
    <col collapsed="false" customWidth="true" hidden="false" outlineLevel="0" max="4" min="4" style="0" width="7"/>
    <col collapsed="false" customWidth="true" hidden="false" outlineLevel="0" max="5" min="5" style="0" width="12"/>
    <col collapsed="false" customWidth="true" hidden="false" outlineLevel="0" max="6" min="6" style="0" width="28"/>
    <col collapsed="false" customWidth="true" hidden="false" outlineLevel="0" max="7" min="7" style="0" width="15"/>
    <col collapsed="false" customWidth="true" hidden="false" outlineLevel="0" max="8" min="8" style="0" width="8"/>
    <col collapsed="false" customWidth="true" hidden="false" outlineLevel="0" max="9" min="9" style="0" width="22"/>
    <col collapsed="false" customWidth="true" hidden="false" outlineLevel="0" max="10" min="10" style="0" width="10"/>
    <col collapsed="false" customWidth="true" hidden="false" outlineLevel="0" max="12" min="11" style="0" width="14"/>
    <col collapsed="false" customWidth="true" hidden="false" outlineLevel="0" max="13" min="13" style="0" width="60"/>
  </cols>
  <sheetData>
    <row r="1" customFormat="false" ht="30" hidden="false" customHeight="true" outlineLevel="0" collapsed="false">
      <c r="A1" s="4" t="s">
        <v>1511</v>
      </c>
      <c r="B1" s="4" t="s">
        <v>427</v>
      </c>
      <c r="C1" s="4" t="s">
        <v>432</v>
      </c>
      <c r="D1" s="4" t="s">
        <v>401</v>
      </c>
      <c r="E1" s="4" t="s">
        <v>436</v>
      </c>
      <c r="F1" s="4" t="s">
        <v>420</v>
      </c>
      <c r="G1" s="4" t="s">
        <v>424</v>
      </c>
      <c r="H1" s="4" t="s">
        <v>382</v>
      </c>
      <c r="I1" s="4" t="s">
        <v>1512</v>
      </c>
      <c r="J1" s="4" t="s">
        <v>1513</v>
      </c>
      <c r="K1" s="4" t="s">
        <v>1514</v>
      </c>
      <c r="L1" s="4" t="s">
        <v>1515</v>
      </c>
      <c r="M1" s="4" t="s">
        <v>738</v>
      </c>
    </row>
    <row r="2" customFormat="false" ht="15" hidden="false" customHeight="false" outlineLevel="0" collapsed="false">
      <c r="A2" s="5" t="s">
        <v>885</v>
      </c>
      <c r="B2" s="5"/>
      <c r="C2" s="5"/>
      <c r="D2" s="5"/>
      <c r="E2" s="5"/>
      <c r="F2" s="5"/>
      <c r="G2" s="5"/>
      <c r="H2" s="5"/>
      <c r="I2" s="5"/>
      <c r="J2" s="5" t="n">
        <v>0</v>
      </c>
      <c r="K2" s="5"/>
      <c r="L2" s="5" t="s">
        <v>776</v>
      </c>
      <c r="M2" s="7" t="s">
        <v>886</v>
      </c>
    </row>
    <row r="3" customFormat="false" ht="15" hidden="false" customHeight="false" outlineLevel="0" collapsed="false">
      <c r="A3" s="5" t="s">
        <v>887</v>
      </c>
      <c r="B3" s="5"/>
      <c r="C3" s="5"/>
      <c r="D3" s="5"/>
      <c r="E3" s="5"/>
      <c r="F3" s="5"/>
      <c r="G3" s="5"/>
      <c r="H3" s="5"/>
      <c r="I3" s="5"/>
      <c r="J3" s="5" t="n">
        <v>0</v>
      </c>
      <c r="K3" s="5"/>
      <c r="L3" s="5" t="s">
        <v>776</v>
      </c>
      <c r="M3" s="7" t="s">
        <v>886</v>
      </c>
    </row>
    <row r="4" customFormat="false" ht="15" hidden="false" customHeight="false" outlineLevel="0" collapsed="false">
      <c r="A4" s="5" t="s">
        <v>888</v>
      </c>
      <c r="B4" s="5"/>
      <c r="C4" s="5"/>
      <c r="D4" s="5"/>
      <c r="E4" s="5"/>
      <c r="F4" s="5"/>
      <c r="G4" s="5"/>
      <c r="H4" s="5"/>
      <c r="I4" s="5"/>
      <c r="J4" s="5" t="n">
        <v>0</v>
      </c>
      <c r="K4" s="5"/>
      <c r="L4" s="5" t="s">
        <v>776</v>
      </c>
      <c r="M4" s="7" t="s">
        <v>886</v>
      </c>
    </row>
    <row r="5" customFormat="false" ht="15" hidden="false" customHeight="false" outlineLevel="0" collapsed="false">
      <c r="A5" s="5" t="s">
        <v>889</v>
      </c>
      <c r="B5" s="5"/>
      <c r="C5" s="5"/>
      <c r="D5" s="5"/>
      <c r="E5" s="5"/>
      <c r="F5" s="5"/>
      <c r="G5" s="5"/>
      <c r="H5" s="5"/>
      <c r="I5" s="5"/>
      <c r="J5" s="5" t="n">
        <v>0</v>
      </c>
      <c r="K5" s="5"/>
      <c r="L5" s="5" t="s">
        <v>776</v>
      </c>
      <c r="M5" s="7" t="s">
        <v>886</v>
      </c>
    </row>
    <row r="6" customFormat="false" ht="23.85" hidden="false" customHeight="false" outlineLevel="0" collapsed="false">
      <c r="A6" s="5" t="s">
        <v>890</v>
      </c>
      <c r="B6" s="5"/>
      <c r="C6" s="5"/>
      <c r="D6" s="5"/>
      <c r="E6" s="5"/>
      <c r="F6" s="5"/>
      <c r="G6" s="5"/>
      <c r="H6" s="5"/>
      <c r="I6" s="5"/>
      <c r="J6" s="5" t="n">
        <v>0</v>
      </c>
      <c r="K6" s="5"/>
      <c r="L6" s="5" t="s">
        <v>776</v>
      </c>
      <c r="M6" s="7" t="s">
        <v>891</v>
      </c>
    </row>
    <row r="7" customFormat="false" ht="15" hidden="false" customHeight="false" outlineLevel="0" collapsed="false">
      <c r="A7" s="5" t="s">
        <v>892</v>
      </c>
      <c r="B7" s="5"/>
      <c r="C7" s="5"/>
      <c r="D7" s="5"/>
      <c r="E7" s="5"/>
      <c r="F7" s="5"/>
      <c r="G7" s="5"/>
      <c r="H7" s="5"/>
      <c r="I7" s="5"/>
      <c r="J7" s="5" t="n">
        <v>0</v>
      </c>
      <c r="K7" s="5"/>
      <c r="L7" s="5" t="s">
        <v>776</v>
      </c>
      <c r="M7" s="7" t="s">
        <v>886</v>
      </c>
    </row>
    <row r="8" customFormat="false" ht="15" hidden="false" customHeight="false" outlineLevel="0" collapsed="false">
      <c r="A8" s="5" t="s">
        <v>893</v>
      </c>
      <c r="B8" s="5"/>
      <c r="C8" s="5"/>
      <c r="D8" s="5"/>
      <c r="E8" s="5"/>
      <c r="F8" s="5"/>
      <c r="G8" s="5"/>
      <c r="H8" s="5"/>
      <c r="I8" s="5"/>
      <c r="J8" s="5" t="n">
        <v>0</v>
      </c>
      <c r="K8" s="5"/>
      <c r="L8" s="5" t="s">
        <v>776</v>
      </c>
      <c r="M8" s="7" t="s">
        <v>886</v>
      </c>
    </row>
    <row r="9" customFormat="false" ht="15" hidden="false" customHeight="false" outlineLevel="0" collapsed="false">
      <c r="A9" s="5" t="s">
        <v>894</v>
      </c>
      <c r="B9" s="5"/>
      <c r="C9" s="5"/>
      <c r="D9" s="5"/>
      <c r="E9" s="5"/>
      <c r="F9" s="5"/>
      <c r="G9" s="5"/>
      <c r="H9" s="5"/>
      <c r="I9" s="5"/>
      <c r="J9" s="5" t="n">
        <v>0</v>
      </c>
      <c r="K9" s="5"/>
      <c r="L9" s="5" t="s">
        <v>776</v>
      </c>
      <c r="M9" s="7" t="s">
        <v>886</v>
      </c>
    </row>
    <row r="10" customFormat="false" ht="15" hidden="false" customHeight="false" outlineLevel="0" collapsed="false">
      <c r="A10" s="5" t="s">
        <v>895</v>
      </c>
      <c r="B10" s="5"/>
      <c r="C10" s="5"/>
      <c r="D10" s="5"/>
      <c r="E10" s="5"/>
      <c r="F10" s="5"/>
      <c r="G10" s="5"/>
      <c r="H10" s="5"/>
      <c r="I10" s="5"/>
      <c r="J10" s="5" t="n">
        <v>0</v>
      </c>
      <c r="K10" s="5"/>
      <c r="L10" s="5" t="s">
        <v>776</v>
      </c>
      <c r="M10" s="7" t="s">
        <v>886</v>
      </c>
    </row>
    <row r="11" customFormat="false" ht="15" hidden="false" customHeight="false" outlineLevel="0" collapsed="false">
      <c r="A11" s="5" t="s">
        <v>896</v>
      </c>
      <c r="B11" s="5"/>
      <c r="C11" s="5"/>
      <c r="D11" s="5"/>
      <c r="E11" s="5"/>
      <c r="F11" s="5"/>
      <c r="G11" s="5"/>
      <c r="H11" s="5"/>
      <c r="I11" s="5"/>
      <c r="J11" s="5" t="n">
        <v>0</v>
      </c>
      <c r="K11" s="5"/>
      <c r="L11" s="5" t="s">
        <v>776</v>
      </c>
      <c r="M11" s="7" t="s">
        <v>886</v>
      </c>
    </row>
    <row r="12" customFormat="false" ht="15" hidden="false" customHeight="false" outlineLevel="0" collapsed="false">
      <c r="A12" s="5" t="s">
        <v>897</v>
      </c>
      <c r="B12" s="5"/>
      <c r="C12" s="5"/>
      <c r="D12" s="5"/>
      <c r="E12" s="5"/>
      <c r="F12" s="5"/>
      <c r="G12" s="5"/>
      <c r="H12" s="5"/>
      <c r="I12" s="5"/>
      <c r="J12" s="5" t="n">
        <v>0</v>
      </c>
      <c r="K12" s="5"/>
      <c r="L12" s="5" t="s">
        <v>776</v>
      </c>
      <c r="M12" s="7" t="s">
        <v>886</v>
      </c>
    </row>
    <row r="13" customFormat="false" ht="15" hidden="false" customHeight="false" outlineLevel="0" collapsed="false">
      <c r="A13" s="5" t="s">
        <v>898</v>
      </c>
      <c r="B13" s="5"/>
      <c r="C13" s="5"/>
      <c r="D13" s="5"/>
      <c r="E13" s="5"/>
      <c r="F13" s="5"/>
      <c r="G13" s="5"/>
      <c r="H13" s="5"/>
      <c r="I13" s="5"/>
      <c r="J13" s="5" t="n">
        <v>0</v>
      </c>
      <c r="K13" s="5"/>
      <c r="L13" s="5" t="s">
        <v>776</v>
      </c>
      <c r="M13" s="7" t="s">
        <v>886</v>
      </c>
    </row>
    <row r="14" customFormat="false" ht="15" hidden="false" customHeight="false" outlineLevel="0" collapsed="false">
      <c r="A14" s="5" t="s">
        <v>899</v>
      </c>
      <c r="B14" s="5"/>
      <c r="C14" s="5"/>
      <c r="D14" s="5"/>
      <c r="E14" s="5"/>
      <c r="F14" s="5"/>
      <c r="G14" s="5"/>
      <c r="H14" s="5"/>
      <c r="I14" s="5"/>
      <c r="J14" s="5" t="n">
        <v>0</v>
      </c>
      <c r="K14" s="5"/>
      <c r="L14" s="5" t="s">
        <v>776</v>
      </c>
      <c r="M14" s="7" t="s">
        <v>886</v>
      </c>
    </row>
    <row r="15" customFormat="false" ht="15" hidden="false" customHeight="false" outlineLevel="0" collapsed="false">
      <c r="A15" s="5" t="s">
        <v>900</v>
      </c>
      <c r="B15" s="5"/>
      <c r="C15" s="5"/>
      <c r="D15" s="5"/>
      <c r="E15" s="5"/>
      <c r="F15" s="5"/>
      <c r="G15" s="5"/>
      <c r="H15" s="5"/>
      <c r="I15" s="5"/>
      <c r="J15" s="5" t="n">
        <v>0</v>
      </c>
      <c r="K15" s="5"/>
      <c r="L15" s="5" t="s">
        <v>776</v>
      </c>
      <c r="M15" s="7" t="s">
        <v>886</v>
      </c>
    </row>
    <row r="16" customFormat="false" ht="15" hidden="false" customHeight="false" outlineLevel="0" collapsed="false">
      <c r="A16" s="5" t="s">
        <v>901</v>
      </c>
      <c r="B16" s="5"/>
      <c r="C16" s="5"/>
      <c r="D16" s="5"/>
      <c r="E16" s="5"/>
      <c r="F16" s="5"/>
      <c r="G16" s="5"/>
      <c r="H16" s="5"/>
      <c r="I16" s="5"/>
      <c r="J16" s="5" t="n">
        <v>0</v>
      </c>
      <c r="K16" s="5"/>
      <c r="L16" s="5" t="s">
        <v>776</v>
      </c>
      <c r="M16" s="7" t="s">
        <v>886</v>
      </c>
    </row>
    <row r="17" customFormat="false" ht="23.85" hidden="false" customHeight="false" outlineLevel="0" collapsed="false">
      <c r="A17" s="5" t="s">
        <v>902</v>
      </c>
      <c r="B17" s="5" t="s">
        <v>1516</v>
      </c>
      <c r="C17" s="5" t="s">
        <v>1517</v>
      </c>
      <c r="D17" s="5" t="s">
        <v>402</v>
      </c>
      <c r="E17" s="5" t="s">
        <v>1518</v>
      </c>
      <c r="F17" s="5" t="s">
        <v>1519</v>
      </c>
      <c r="G17" s="5" t="s">
        <v>1520</v>
      </c>
      <c r="H17" s="5"/>
      <c r="I17" s="5" t="s">
        <v>1026</v>
      </c>
      <c r="J17" s="5" t="n">
        <v>1</v>
      </c>
      <c r="K17" s="5" t="s">
        <v>1521</v>
      </c>
      <c r="L17" s="5" t="s">
        <v>776</v>
      </c>
      <c r="M17" s="5"/>
    </row>
    <row r="18" customFormat="false" ht="23.85" hidden="false" customHeight="false" outlineLevel="0" collapsed="false">
      <c r="A18" s="5" t="s">
        <v>904</v>
      </c>
      <c r="B18" s="5"/>
      <c r="C18" s="5"/>
      <c r="D18" s="5"/>
      <c r="E18" s="5"/>
      <c r="F18" s="5"/>
      <c r="G18" s="5"/>
      <c r="H18" s="5"/>
      <c r="I18" s="5"/>
      <c r="J18" s="5" t="n">
        <v>0</v>
      </c>
      <c r="K18" s="5"/>
      <c r="L18" s="5" t="s">
        <v>776</v>
      </c>
      <c r="M18" s="7" t="s">
        <v>886</v>
      </c>
    </row>
    <row r="19" customFormat="false" ht="23.85" hidden="false" customHeight="false" outlineLevel="0" collapsed="false">
      <c r="A19" s="5" t="s">
        <v>905</v>
      </c>
      <c r="B19" s="5"/>
      <c r="C19" s="5"/>
      <c r="D19" s="5"/>
      <c r="E19" s="5"/>
      <c r="F19" s="5"/>
      <c r="G19" s="5"/>
      <c r="H19" s="5"/>
      <c r="I19" s="5"/>
      <c r="J19" s="5" t="n">
        <v>0</v>
      </c>
      <c r="K19" s="5"/>
      <c r="L19" s="5" t="s">
        <v>776</v>
      </c>
      <c r="M19" s="7" t="s">
        <v>906</v>
      </c>
    </row>
    <row r="20" customFormat="false" ht="15" hidden="false" customHeight="false" outlineLevel="0" collapsed="false">
      <c r="A20" s="5" t="s">
        <v>907</v>
      </c>
      <c r="B20" s="5"/>
      <c r="C20" s="5"/>
      <c r="D20" s="5"/>
      <c r="E20" s="5"/>
      <c r="F20" s="5"/>
      <c r="G20" s="5"/>
      <c r="H20" s="5"/>
      <c r="I20" s="5"/>
      <c r="J20" s="5" t="n">
        <v>0</v>
      </c>
      <c r="K20" s="5"/>
      <c r="L20" s="5" t="s">
        <v>776</v>
      </c>
      <c r="M20" s="7" t="s">
        <v>886</v>
      </c>
    </row>
    <row r="21" customFormat="false" ht="15" hidden="false" customHeight="false" outlineLevel="0" collapsed="false">
      <c r="A21" s="5" t="s">
        <v>908</v>
      </c>
      <c r="B21" s="5"/>
      <c r="C21" s="5"/>
      <c r="D21" s="5"/>
      <c r="E21" s="5"/>
      <c r="F21" s="5"/>
      <c r="G21" s="5"/>
      <c r="H21" s="5"/>
      <c r="I21" s="5"/>
      <c r="J21" s="5" t="n">
        <v>0</v>
      </c>
      <c r="K21" s="5"/>
      <c r="L21" s="5" t="s">
        <v>776</v>
      </c>
      <c r="M21" s="7" t="s">
        <v>886</v>
      </c>
    </row>
    <row r="22" customFormat="false" ht="15" hidden="false" customHeight="false" outlineLevel="0" collapsed="false">
      <c r="A22" s="5" t="s">
        <v>909</v>
      </c>
      <c r="B22" s="5"/>
      <c r="C22" s="5"/>
      <c r="D22" s="5"/>
      <c r="E22" s="5"/>
      <c r="F22" s="5"/>
      <c r="G22" s="5"/>
      <c r="H22" s="5"/>
      <c r="I22" s="5"/>
      <c r="J22" s="5" t="n">
        <v>0</v>
      </c>
      <c r="K22" s="5"/>
      <c r="L22" s="5" t="s">
        <v>776</v>
      </c>
      <c r="M22" s="7" t="s">
        <v>886</v>
      </c>
    </row>
    <row r="23" customFormat="false" ht="15" hidden="false" customHeight="false" outlineLevel="0" collapsed="false">
      <c r="A23" s="5" t="s">
        <v>910</v>
      </c>
      <c r="B23" s="5"/>
      <c r="C23" s="5"/>
      <c r="D23" s="5"/>
      <c r="E23" s="5"/>
      <c r="F23" s="5"/>
      <c r="G23" s="5"/>
      <c r="H23" s="5"/>
      <c r="I23" s="5"/>
      <c r="J23" s="5" t="n">
        <v>0</v>
      </c>
      <c r="K23" s="5"/>
      <c r="L23" s="5" t="s">
        <v>776</v>
      </c>
      <c r="M23" s="7" t="s">
        <v>886</v>
      </c>
    </row>
    <row r="24" customFormat="false" ht="15" hidden="false" customHeight="false" outlineLevel="0" collapsed="false">
      <c r="A24" s="5" t="s">
        <v>911</v>
      </c>
      <c r="B24" s="5"/>
      <c r="C24" s="5"/>
      <c r="D24" s="5"/>
      <c r="E24" s="5"/>
      <c r="F24" s="5"/>
      <c r="G24" s="5"/>
      <c r="H24" s="5"/>
      <c r="I24" s="5"/>
      <c r="J24" s="5" t="n">
        <v>0</v>
      </c>
      <c r="K24" s="5"/>
      <c r="L24" s="5" t="s">
        <v>776</v>
      </c>
      <c r="M24" s="7" t="s">
        <v>886</v>
      </c>
    </row>
    <row r="25" customFormat="false" ht="15" hidden="false" customHeight="false" outlineLevel="0" collapsed="false">
      <c r="A25" s="5" t="s">
        <v>912</v>
      </c>
      <c r="B25" s="5"/>
      <c r="C25" s="5"/>
      <c r="D25" s="5"/>
      <c r="E25" s="5"/>
      <c r="F25" s="5"/>
      <c r="G25" s="5"/>
      <c r="H25" s="5"/>
      <c r="I25" s="5"/>
      <c r="J25" s="5" t="n">
        <v>0</v>
      </c>
      <c r="K25" s="5"/>
      <c r="L25" s="5" t="s">
        <v>776</v>
      </c>
      <c r="M25" s="7" t="s">
        <v>886</v>
      </c>
    </row>
    <row r="26" customFormat="false" ht="15" hidden="false" customHeight="false" outlineLevel="0" collapsed="false">
      <c r="A26" s="5" t="s">
        <v>913</v>
      </c>
      <c r="B26" s="5"/>
      <c r="C26" s="5"/>
      <c r="D26" s="5"/>
      <c r="E26" s="5"/>
      <c r="F26" s="5"/>
      <c r="G26" s="5"/>
      <c r="H26" s="5"/>
      <c r="I26" s="5"/>
      <c r="J26" s="5" t="n">
        <v>0</v>
      </c>
      <c r="K26" s="5"/>
      <c r="L26" s="5" t="s">
        <v>776</v>
      </c>
      <c r="M26" s="7" t="s">
        <v>886</v>
      </c>
    </row>
    <row r="27" customFormat="false" ht="15" hidden="false" customHeight="false" outlineLevel="0" collapsed="false">
      <c r="A27" s="5" t="s">
        <v>914</v>
      </c>
      <c r="B27" s="5" t="s">
        <v>1522</v>
      </c>
      <c r="C27" s="5" t="s">
        <v>1523</v>
      </c>
      <c r="D27" s="5" t="s">
        <v>782</v>
      </c>
      <c r="E27" s="5" t="s">
        <v>1524</v>
      </c>
      <c r="F27" s="5" t="s">
        <v>1525</v>
      </c>
      <c r="G27" s="5" t="s">
        <v>1526</v>
      </c>
      <c r="H27" s="5"/>
      <c r="I27" s="5"/>
      <c r="J27" s="5" t="n">
        <v>1</v>
      </c>
      <c r="K27" s="5" t="s">
        <v>1527</v>
      </c>
      <c r="L27" s="5" t="s">
        <v>776</v>
      </c>
      <c r="M27" s="5"/>
    </row>
    <row r="28" customFormat="false" ht="15" hidden="false" customHeight="false" outlineLevel="0" collapsed="false">
      <c r="A28" s="5" t="s">
        <v>916</v>
      </c>
      <c r="B28" s="5"/>
      <c r="C28" s="5"/>
      <c r="D28" s="5"/>
      <c r="E28" s="5"/>
      <c r="F28" s="5"/>
      <c r="G28" s="5"/>
      <c r="H28" s="5"/>
      <c r="I28" s="5"/>
      <c r="J28" s="5" t="n">
        <v>0</v>
      </c>
      <c r="K28" s="5"/>
      <c r="L28" s="5" t="s">
        <v>776</v>
      </c>
      <c r="M28" s="7" t="s">
        <v>886</v>
      </c>
    </row>
    <row r="29" customFormat="false" ht="15" hidden="false" customHeight="false" outlineLevel="0" collapsed="false">
      <c r="A29" s="5" t="s">
        <v>917</v>
      </c>
      <c r="B29" s="5"/>
      <c r="C29" s="5"/>
      <c r="D29" s="5"/>
      <c r="E29" s="5"/>
      <c r="F29" s="5"/>
      <c r="G29" s="5"/>
      <c r="H29" s="5"/>
      <c r="I29" s="5"/>
      <c r="J29" s="5" t="n">
        <v>0</v>
      </c>
      <c r="K29" s="5"/>
      <c r="L29" s="5" t="s">
        <v>776</v>
      </c>
      <c r="M29" s="7" t="s">
        <v>886</v>
      </c>
    </row>
    <row r="30" customFormat="false" ht="15" hidden="false" customHeight="false" outlineLevel="0" collapsed="false">
      <c r="A30" s="5" t="s">
        <v>918</v>
      </c>
      <c r="B30" s="5"/>
      <c r="C30" s="5"/>
      <c r="D30" s="5"/>
      <c r="E30" s="5"/>
      <c r="F30" s="5"/>
      <c r="G30" s="5"/>
      <c r="H30" s="5"/>
      <c r="I30" s="5"/>
      <c r="J30" s="5" t="n">
        <v>0</v>
      </c>
      <c r="K30" s="5"/>
      <c r="L30" s="5" t="s">
        <v>776</v>
      </c>
      <c r="M30" s="7" t="s">
        <v>919</v>
      </c>
    </row>
    <row r="31" customFormat="false" ht="15" hidden="false" customHeight="false" outlineLevel="0" collapsed="false">
      <c r="A31" s="5" t="s">
        <v>920</v>
      </c>
      <c r="B31" s="5"/>
      <c r="C31" s="5"/>
      <c r="D31" s="5"/>
      <c r="E31" s="5"/>
      <c r="F31" s="5"/>
      <c r="G31" s="5"/>
      <c r="H31" s="5"/>
      <c r="I31" s="5"/>
      <c r="J31" s="5" t="n">
        <v>0</v>
      </c>
      <c r="K31" s="5"/>
      <c r="L31" s="5" t="s">
        <v>776</v>
      </c>
      <c r="M31" s="7" t="s">
        <v>886</v>
      </c>
    </row>
    <row r="32" customFormat="false" ht="23.85" hidden="false" customHeight="false" outlineLevel="0" collapsed="false">
      <c r="A32" s="5" t="s">
        <v>921</v>
      </c>
      <c r="B32" s="5"/>
      <c r="C32" s="5"/>
      <c r="D32" s="5"/>
      <c r="E32" s="5"/>
      <c r="F32" s="5"/>
      <c r="G32" s="5"/>
      <c r="H32" s="5"/>
      <c r="I32" s="5"/>
      <c r="J32" s="5" t="n">
        <v>0</v>
      </c>
      <c r="K32" s="5"/>
      <c r="L32" s="5" t="s">
        <v>776</v>
      </c>
      <c r="M32" s="7" t="s">
        <v>886</v>
      </c>
    </row>
    <row r="33" customFormat="false" ht="15" hidden="false" customHeight="false" outlineLevel="0" collapsed="false">
      <c r="A33" s="5" t="s">
        <v>922</v>
      </c>
      <c r="B33" s="5"/>
      <c r="C33" s="5"/>
      <c r="D33" s="5"/>
      <c r="E33" s="5"/>
      <c r="F33" s="5"/>
      <c r="G33" s="5"/>
      <c r="H33" s="5"/>
      <c r="I33" s="5"/>
      <c r="J33" s="5" t="n">
        <v>0</v>
      </c>
      <c r="K33" s="5"/>
      <c r="L33" s="5" t="s">
        <v>776</v>
      </c>
      <c r="M33" s="7" t="s">
        <v>886</v>
      </c>
    </row>
    <row r="34" customFormat="false" ht="15" hidden="false" customHeight="false" outlineLevel="0" collapsed="false">
      <c r="A34" s="5" t="s">
        <v>923</v>
      </c>
      <c r="B34" s="5"/>
      <c r="C34" s="5"/>
      <c r="D34" s="5"/>
      <c r="E34" s="5"/>
      <c r="F34" s="5"/>
      <c r="G34" s="5"/>
      <c r="H34" s="5"/>
      <c r="I34" s="5"/>
      <c r="J34" s="5" t="n">
        <v>0</v>
      </c>
      <c r="K34" s="5"/>
      <c r="L34" s="5" t="s">
        <v>776</v>
      </c>
      <c r="M34" s="7" t="s">
        <v>886</v>
      </c>
    </row>
    <row r="35" customFormat="false" ht="15" hidden="false" customHeight="false" outlineLevel="0" collapsed="false">
      <c r="A35" s="5" t="s">
        <v>924</v>
      </c>
      <c r="B35" s="5"/>
      <c r="C35" s="5"/>
      <c r="D35" s="5"/>
      <c r="E35" s="5"/>
      <c r="F35" s="5"/>
      <c r="G35" s="5"/>
      <c r="H35" s="5"/>
      <c r="I35" s="5"/>
      <c r="J35" s="5" t="n">
        <v>0</v>
      </c>
      <c r="K35" s="5"/>
      <c r="L35" s="5" t="s">
        <v>776</v>
      </c>
      <c r="M35" s="7" t="s">
        <v>886</v>
      </c>
    </row>
    <row r="36" customFormat="false" ht="15" hidden="false" customHeight="false" outlineLevel="0" collapsed="false">
      <c r="A36" s="5" t="s">
        <v>925</v>
      </c>
      <c r="B36" s="5"/>
      <c r="C36" s="5"/>
      <c r="D36" s="5"/>
      <c r="E36" s="5"/>
      <c r="F36" s="5"/>
      <c r="G36" s="5"/>
      <c r="H36" s="5"/>
      <c r="I36" s="5"/>
      <c r="J36" s="5" t="n">
        <v>0</v>
      </c>
      <c r="K36" s="5"/>
      <c r="L36" s="5" t="s">
        <v>776</v>
      </c>
      <c r="M36" s="7" t="s">
        <v>886</v>
      </c>
    </row>
    <row r="37" customFormat="false" ht="15" hidden="false" customHeight="false" outlineLevel="0" collapsed="false">
      <c r="A37" s="5" t="s">
        <v>926</v>
      </c>
      <c r="B37" s="5"/>
      <c r="C37" s="5"/>
      <c r="D37" s="5"/>
      <c r="E37" s="5"/>
      <c r="F37" s="5"/>
      <c r="G37" s="5"/>
      <c r="H37" s="5"/>
      <c r="I37" s="5"/>
      <c r="J37" s="5" t="n">
        <v>0</v>
      </c>
      <c r="K37" s="5"/>
      <c r="L37" s="5" t="s">
        <v>776</v>
      </c>
      <c r="M37" s="7" t="s">
        <v>886</v>
      </c>
    </row>
    <row r="38" customFormat="false" ht="15" hidden="false" customHeight="false" outlineLevel="0" collapsed="false">
      <c r="A38" s="5" t="s">
        <v>927</v>
      </c>
      <c r="B38" s="5"/>
      <c r="C38" s="5"/>
      <c r="D38" s="5"/>
      <c r="E38" s="5"/>
      <c r="F38" s="5"/>
      <c r="G38" s="5"/>
      <c r="H38" s="5"/>
      <c r="I38" s="5"/>
      <c r="J38" s="5" t="n">
        <v>0</v>
      </c>
      <c r="K38" s="5"/>
      <c r="L38" s="5" t="s">
        <v>776</v>
      </c>
      <c r="M38" s="7" t="s">
        <v>886</v>
      </c>
    </row>
    <row r="39" customFormat="false" ht="15" hidden="false" customHeight="false" outlineLevel="0" collapsed="false">
      <c r="A39" s="5" t="s">
        <v>928</v>
      </c>
      <c r="B39" s="5"/>
      <c r="C39" s="5"/>
      <c r="D39" s="5"/>
      <c r="E39" s="5"/>
      <c r="F39" s="5"/>
      <c r="G39" s="5"/>
      <c r="H39" s="5"/>
      <c r="I39" s="5"/>
      <c r="J39" s="5" t="n">
        <v>0</v>
      </c>
      <c r="K39" s="5"/>
      <c r="L39" s="5" t="s">
        <v>776</v>
      </c>
      <c r="M39" s="7" t="s">
        <v>886</v>
      </c>
    </row>
    <row r="40" customFormat="false" ht="35.05" hidden="false" customHeight="false" outlineLevel="0" collapsed="false">
      <c r="A40" s="5" t="s">
        <v>929</v>
      </c>
      <c r="B40" s="5"/>
      <c r="C40" s="5"/>
      <c r="D40" s="5"/>
      <c r="E40" s="5"/>
      <c r="F40" s="5"/>
      <c r="G40" s="5"/>
      <c r="H40" s="5"/>
      <c r="I40" s="5"/>
      <c r="J40" s="5" t="n">
        <v>0</v>
      </c>
      <c r="K40" s="5"/>
      <c r="L40" s="5" t="s">
        <v>1528</v>
      </c>
      <c r="M40" s="7" t="s">
        <v>930</v>
      </c>
    </row>
    <row r="41" customFormat="false" ht="15" hidden="false" customHeight="false" outlineLevel="0" collapsed="false">
      <c r="A41" s="5" t="s">
        <v>931</v>
      </c>
      <c r="B41" s="5"/>
      <c r="C41" s="5"/>
      <c r="D41" s="5"/>
      <c r="E41" s="5"/>
      <c r="F41" s="5"/>
      <c r="G41" s="5"/>
      <c r="H41" s="5"/>
      <c r="I41" s="5"/>
      <c r="J41" s="5" t="n">
        <v>0</v>
      </c>
      <c r="K41" s="5"/>
      <c r="L41" s="5" t="s">
        <v>776</v>
      </c>
      <c r="M41" s="7" t="s">
        <v>886</v>
      </c>
    </row>
    <row r="42" customFormat="false" ht="15" hidden="false" customHeight="false" outlineLevel="0" collapsed="false">
      <c r="A42" s="5" t="s">
        <v>932</v>
      </c>
      <c r="B42" s="5"/>
      <c r="C42" s="5"/>
      <c r="D42" s="5"/>
      <c r="E42" s="5"/>
      <c r="F42" s="5"/>
      <c r="G42" s="5"/>
      <c r="H42" s="5"/>
      <c r="I42" s="5"/>
      <c r="J42" s="5" t="n">
        <v>0</v>
      </c>
      <c r="K42" s="5"/>
      <c r="L42" s="5" t="s">
        <v>776</v>
      </c>
      <c r="M42" s="7" t="s">
        <v>886</v>
      </c>
    </row>
    <row r="43" customFormat="false" ht="15" hidden="false" customHeight="false" outlineLevel="0" collapsed="false">
      <c r="A43" s="5" t="s">
        <v>933</v>
      </c>
      <c r="B43" s="5"/>
      <c r="C43" s="5"/>
      <c r="D43" s="5"/>
      <c r="E43" s="5"/>
      <c r="F43" s="5"/>
      <c r="G43" s="5"/>
      <c r="H43" s="5"/>
      <c r="I43" s="5"/>
      <c r="J43" s="5" t="n">
        <v>0</v>
      </c>
      <c r="K43" s="5"/>
      <c r="L43" s="5" t="s">
        <v>776</v>
      </c>
      <c r="M43" s="7" t="s">
        <v>886</v>
      </c>
    </row>
    <row r="44" customFormat="false" ht="15" hidden="false" customHeight="false" outlineLevel="0" collapsed="false">
      <c r="A44" s="5" t="s">
        <v>934</v>
      </c>
      <c r="B44" s="5"/>
      <c r="C44" s="5"/>
      <c r="D44" s="5"/>
      <c r="E44" s="5"/>
      <c r="F44" s="5"/>
      <c r="G44" s="5"/>
      <c r="H44" s="5"/>
      <c r="I44" s="5"/>
      <c r="J44" s="5" t="n">
        <v>0</v>
      </c>
      <c r="K44" s="5"/>
      <c r="L44" s="5" t="s">
        <v>776</v>
      </c>
      <c r="M44" s="7" t="s">
        <v>886</v>
      </c>
    </row>
    <row r="45" customFormat="false" ht="15" hidden="false" customHeight="false" outlineLevel="0" collapsed="false">
      <c r="A45" s="5" t="s">
        <v>935</v>
      </c>
      <c r="B45" s="5"/>
      <c r="C45" s="5"/>
      <c r="D45" s="5"/>
      <c r="E45" s="5"/>
      <c r="F45" s="5"/>
      <c r="G45" s="5"/>
      <c r="H45" s="5"/>
      <c r="I45" s="5"/>
      <c r="J45" s="5" t="n">
        <v>0</v>
      </c>
      <c r="K45" s="5"/>
      <c r="L45" s="5" t="s">
        <v>776</v>
      </c>
      <c r="M45" s="7" t="s">
        <v>886</v>
      </c>
    </row>
    <row r="46" customFormat="false" ht="15" hidden="false" customHeight="false" outlineLevel="0" collapsed="false">
      <c r="A46" s="5" t="s">
        <v>936</v>
      </c>
      <c r="B46" s="5"/>
      <c r="C46" s="5"/>
      <c r="D46" s="5"/>
      <c r="E46" s="5"/>
      <c r="F46" s="5"/>
      <c r="G46" s="5"/>
      <c r="H46" s="5"/>
      <c r="I46" s="5"/>
      <c r="J46" s="5" t="n">
        <v>0</v>
      </c>
      <c r="K46" s="5"/>
      <c r="L46" s="5" t="s">
        <v>776</v>
      </c>
      <c r="M46" s="7" t="s">
        <v>886</v>
      </c>
    </row>
    <row r="47" customFormat="false" ht="15" hidden="false" customHeight="false" outlineLevel="0" collapsed="false">
      <c r="A47" s="5" t="s">
        <v>937</v>
      </c>
      <c r="B47" s="5"/>
      <c r="C47" s="5"/>
      <c r="D47" s="5"/>
      <c r="E47" s="5"/>
      <c r="F47" s="5"/>
      <c r="G47" s="5"/>
      <c r="H47" s="5"/>
      <c r="I47" s="5"/>
      <c r="J47" s="5" t="n">
        <v>0</v>
      </c>
      <c r="K47" s="5"/>
      <c r="L47" s="5" t="s">
        <v>776</v>
      </c>
      <c r="M47" s="7" t="s">
        <v>886</v>
      </c>
    </row>
    <row r="48" customFormat="false" ht="15" hidden="false" customHeight="false" outlineLevel="0" collapsed="false">
      <c r="A48" s="5" t="s">
        <v>938</v>
      </c>
      <c r="B48" s="5"/>
      <c r="C48" s="5"/>
      <c r="D48" s="5"/>
      <c r="E48" s="5"/>
      <c r="F48" s="5"/>
      <c r="G48" s="5"/>
      <c r="H48" s="5"/>
      <c r="I48" s="5"/>
      <c r="J48" s="5" t="n">
        <v>0</v>
      </c>
      <c r="K48" s="5"/>
      <c r="L48" s="5" t="s">
        <v>776</v>
      </c>
      <c r="M48" s="7" t="s">
        <v>886</v>
      </c>
    </row>
    <row r="49" customFormat="false" ht="23.85" hidden="false" customHeight="false" outlineLevel="0" collapsed="false">
      <c r="A49" s="5" t="s">
        <v>1029</v>
      </c>
      <c r="B49" s="5"/>
      <c r="C49" s="5"/>
      <c r="D49" s="5"/>
      <c r="E49" s="5"/>
      <c r="F49" s="5"/>
      <c r="G49" s="5"/>
      <c r="H49" s="5"/>
      <c r="I49" s="5"/>
      <c r="J49" s="5" t="n">
        <v>0</v>
      </c>
      <c r="K49" s="5"/>
      <c r="L49" s="5" t="s">
        <v>776</v>
      </c>
      <c r="M49" s="7" t="s">
        <v>1529</v>
      </c>
    </row>
    <row r="50" customFormat="false" ht="15" hidden="false" customHeight="false" outlineLevel="0" collapsed="false">
      <c r="A50" s="5" t="s">
        <v>939</v>
      </c>
      <c r="B50" s="5"/>
      <c r="C50" s="5"/>
      <c r="D50" s="5"/>
      <c r="E50" s="5"/>
      <c r="F50" s="5"/>
      <c r="G50" s="5"/>
      <c r="H50" s="5"/>
      <c r="I50" s="5"/>
      <c r="J50" s="5" t="n">
        <v>0</v>
      </c>
      <c r="K50" s="5"/>
      <c r="L50" s="5" t="s">
        <v>776</v>
      </c>
      <c r="M50" s="7" t="s">
        <v>886</v>
      </c>
    </row>
    <row r="51" customFormat="false" ht="15" hidden="false" customHeight="false" outlineLevel="0" collapsed="false">
      <c r="A51" s="5" t="s">
        <v>940</v>
      </c>
      <c r="B51" s="5"/>
      <c r="C51" s="5"/>
      <c r="D51" s="5"/>
      <c r="E51" s="5"/>
      <c r="F51" s="5"/>
      <c r="G51" s="5"/>
      <c r="H51" s="5"/>
      <c r="I51" s="5"/>
      <c r="J51" s="5" t="n">
        <v>0</v>
      </c>
      <c r="K51" s="5"/>
      <c r="L51" s="5" t="s">
        <v>776</v>
      </c>
      <c r="M51" s="7" t="s">
        <v>886</v>
      </c>
    </row>
    <row r="52" customFormat="false" ht="15" hidden="false" customHeight="false" outlineLevel="0" collapsed="false">
      <c r="A52" s="5" t="s">
        <v>941</v>
      </c>
      <c r="B52" s="5"/>
      <c r="C52" s="5"/>
      <c r="D52" s="5"/>
      <c r="E52" s="5"/>
      <c r="F52" s="5"/>
      <c r="G52" s="5"/>
      <c r="H52" s="5"/>
      <c r="I52" s="5"/>
      <c r="J52" s="5" t="n">
        <v>0</v>
      </c>
      <c r="K52" s="5"/>
      <c r="L52" s="5" t="s">
        <v>776</v>
      </c>
      <c r="M52" s="7" t="s">
        <v>886</v>
      </c>
    </row>
    <row r="53" customFormat="false" ht="15" hidden="false" customHeight="false" outlineLevel="0" collapsed="false">
      <c r="A53" s="5" t="s">
        <v>942</v>
      </c>
      <c r="B53" s="5"/>
      <c r="C53" s="5"/>
      <c r="D53" s="5"/>
      <c r="E53" s="5"/>
      <c r="F53" s="5"/>
      <c r="G53" s="5"/>
      <c r="H53" s="5"/>
      <c r="I53" s="5"/>
      <c r="J53" s="5" t="n">
        <v>0</v>
      </c>
      <c r="K53" s="5"/>
      <c r="L53" s="5" t="s">
        <v>776</v>
      </c>
      <c r="M53" s="7" t="s">
        <v>886</v>
      </c>
    </row>
    <row r="54" customFormat="false" ht="23.85" hidden="false" customHeight="false" outlineLevel="0" collapsed="false">
      <c r="A54" s="5" t="s">
        <v>943</v>
      </c>
      <c r="B54" s="5"/>
      <c r="C54" s="5"/>
      <c r="D54" s="5"/>
      <c r="E54" s="5"/>
      <c r="F54" s="5"/>
      <c r="G54" s="5"/>
      <c r="H54" s="5"/>
      <c r="I54" s="5"/>
      <c r="J54" s="5" t="n">
        <v>0</v>
      </c>
      <c r="K54" s="5"/>
      <c r="L54" s="5" t="s">
        <v>776</v>
      </c>
      <c r="M54" s="7" t="s">
        <v>944</v>
      </c>
    </row>
    <row r="55" customFormat="false" ht="15" hidden="false" customHeight="false" outlineLevel="0" collapsed="false">
      <c r="A55" s="5" t="s">
        <v>945</v>
      </c>
      <c r="B55" s="5"/>
      <c r="C55" s="5"/>
      <c r="D55" s="5"/>
      <c r="E55" s="5"/>
      <c r="F55" s="5"/>
      <c r="G55" s="5"/>
      <c r="H55" s="5"/>
      <c r="I55" s="5" t="s">
        <v>1029</v>
      </c>
      <c r="J55" s="5" t="n">
        <v>0</v>
      </c>
      <c r="K55" s="5"/>
      <c r="L55" s="5" t="s">
        <v>776</v>
      </c>
      <c r="M55" s="7" t="s">
        <v>886</v>
      </c>
    </row>
    <row r="56" customFormat="false" ht="15" hidden="false" customHeight="false" outlineLevel="0" collapsed="false">
      <c r="A56" s="5" t="s">
        <v>946</v>
      </c>
      <c r="B56" s="5"/>
      <c r="C56" s="5"/>
      <c r="D56" s="5"/>
      <c r="E56" s="5"/>
      <c r="F56" s="5"/>
      <c r="G56" s="5"/>
      <c r="H56" s="5"/>
      <c r="I56" s="5"/>
      <c r="J56" s="5" t="n">
        <v>0</v>
      </c>
      <c r="K56" s="5"/>
      <c r="L56" s="5" t="s">
        <v>776</v>
      </c>
      <c r="M56" s="7" t="s">
        <v>886</v>
      </c>
    </row>
    <row r="57" customFormat="false" ht="23.85" hidden="false" customHeight="false" outlineLevel="0" collapsed="false">
      <c r="A57" s="5" t="s">
        <v>947</v>
      </c>
      <c r="B57" s="5"/>
      <c r="C57" s="5"/>
      <c r="D57" s="5"/>
      <c r="E57" s="5"/>
      <c r="F57" s="5"/>
      <c r="G57" s="5"/>
      <c r="H57" s="5"/>
      <c r="I57" s="5"/>
      <c r="J57" s="5" t="n">
        <v>0</v>
      </c>
      <c r="K57" s="5"/>
      <c r="L57" s="5" t="s">
        <v>776</v>
      </c>
      <c r="M57" s="7" t="s">
        <v>948</v>
      </c>
    </row>
    <row r="58" customFormat="false" ht="15" hidden="false" customHeight="false" outlineLevel="0" collapsed="false">
      <c r="A58" s="5" t="s">
        <v>949</v>
      </c>
      <c r="B58" s="5"/>
      <c r="C58" s="5"/>
      <c r="D58" s="5"/>
      <c r="E58" s="5"/>
      <c r="F58" s="5"/>
      <c r="G58" s="5"/>
      <c r="H58" s="5"/>
      <c r="I58" s="5"/>
      <c r="J58" s="5" t="n">
        <v>0</v>
      </c>
      <c r="K58" s="5"/>
      <c r="L58" s="5" t="s">
        <v>776</v>
      </c>
      <c r="M58" s="7" t="s">
        <v>886</v>
      </c>
    </row>
    <row r="59" customFormat="false" ht="23.85" hidden="false" customHeight="false" outlineLevel="0" collapsed="false">
      <c r="A59" s="5" t="s">
        <v>950</v>
      </c>
      <c r="B59" s="5"/>
      <c r="C59" s="5"/>
      <c r="D59" s="5"/>
      <c r="E59" s="5"/>
      <c r="F59" s="5"/>
      <c r="G59" s="5"/>
      <c r="H59" s="5"/>
      <c r="I59" s="5"/>
      <c r="J59" s="5" t="n">
        <v>0</v>
      </c>
      <c r="K59" s="5"/>
      <c r="L59" s="5" t="s">
        <v>776</v>
      </c>
      <c r="M59" s="7" t="s">
        <v>886</v>
      </c>
    </row>
    <row r="60" customFormat="false" ht="15" hidden="false" customHeight="false" outlineLevel="0" collapsed="false">
      <c r="A60" s="5" t="s">
        <v>951</v>
      </c>
      <c r="B60" s="5"/>
      <c r="C60" s="5"/>
      <c r="D60" s="5"/>
      <c r="E60" s="5"/>
      <c r="F60" s="5"/>
      <c r="G60" s="5"/>
      <c r="H60" s="5"/>
      <c r="I60" s="5"/>
      <c r="J60" s="5" t="n">
        <v>0</v>
      </c>
      <c r="K60" s="5"/>
      <c r="L60" s="5" t="s">
        <v>776</v>
      </c>
      <c r="M60" s="7" t="s">
        <v>886</v>
      </c>
    </row>
    <row r="61" customFormat="false" ht="15" hidden="false" customHeight="false" outlineLevel="0" collapsed="false">
      <c r="A61" s="5" t="s">
        <v>952</v>
      </c>
      <c r="B61" s="5"/>
      <c r="C61" s="5"/>
      <c r="D61" s="5"/>
      <c r="E61" s="5"/>
      <c r="F61" s="5"/>
      <c r="G61" s="5"/>
      <c r="H61" s="5"/>
      <c r="I61" s="5"/>
      <c r="J61" s="5" t="n">
        <v>0</v>
      </c>
      <c r="K61" s="5"/>
      <c r="L61" s="5" t="s">
        <v>776</v>
      </c>
      <c r="M61" s="7" t="s">
        <v>886</v>
      </c>
    </row>
    <row r="62" customFormat="false" ht="15" hidden="false" customHeight="false" outlineLevel="0" collapsed="false">
      <c r="A62" s="5" t="s">
        <v>953</v>
      </c>
      <c r="B62" s="5"/>
      <c r="C62" s="5"/>
      <c r="D62" s="5"/>
      <c r="E62" s="5"/>
      <c r="F62" s="5"/>
      <c r="G62" s="5"/>
      <c r="H62" s="5"/>
      <c r="I62" s="5"/>
      <c r="J62" s="5" t="n">
        <v>0</v>
      </c>
      <c r="K62" s="5"/>
      <c r="L62" s="5" t="s">
        <v>776</v>
      </c>
      <c r="M62" s="7" t="s">
        <v>886</v>
      </c>
    </row>
    <row r="63" customFormat="false" ht="15" hidden="false" customHeight="false" outlineLevel="0" collapsed="false">
      <c r="A63" s="5" t="s">
        <v>954</v>
      </c>
      <c r="B63" s="5"/>
      <c r="C63" s="5"/>
      <c r="D63" s="5"/>
      <c r="E63" s="5"/>
      <c r="F63" s="5"/>
      <c r="G63" s="5"/>
      <c r="H63" s="5"/>
      <c r="I63" s="5"/>
      <c r="J63" s="5" t="n">
        <v>0</v>
      </c>
      <c r="K63" s="5"/>
      <c r="L63" s="5" t="s">
        <v>776</v>
      </c>
      <c r="M63" s="7" t="s">
        <v>886</v>
      </c>
    </row>
    <row r="64" customFormat="false" ht="15" hidden="false" customHeight="false" outlineLevel="0" collapsed="false">
      <c r="A64" s="5" t="s">
        <v>955</v>
      </c>
      <c r="B64" s="5"/>
      <c r="C64" s="5"/>
      <c r="D64" s="5"/>
      <c r="E64" s="5"/>
      <c r="F64" s="5"/>
      <c r="G64" s="5"/>
      <c r="H64" s="5"/>
      <c r="I64" s="5"/>
      <c r="J64" s="5" t="n">
        <v>0</v>
      </c>
      <c r="K64" s="5"/>
      <c r="L64" s="5" t="s">
        <v>776</v>
      </c>
      <c r="M64" s="7" t="s">
        <v>886</v>
      </c>
    </row>
    <row r="65" customFormat="false" ht="15" hidden="false" customHeight="false" outlineLevel="0" collapsed="false">
      <c r="A65" s="5" t="s">
        <v>956</v>
      </c>
      <c r="B65" s="5"/>
      <c r="C65" s="5"/>
      <c r="D65" s="5"/>
      <c r="E65" s="5"/>
      <c r="F65" s="5"/>
      <c r="G65" s="5"/>
      <c r="H65" s="5"/>
      <c r="I65" s="5"/>
      <c r="J65" s="5" t="n">
        <v>0</v>
      </c>
      <c r="K65" s="5"/>
      <c r="L65" s="5" t="s">
        <v>776</v>
      </c>
      <c r="M65" s="7" t="s">
        <v>886</v>
      </c>
    </row>
    <row r="66" customFormat="false" ht="15" hidden="false" customHeight="false" outlineLevel="0" collapsed="false">
      <c r="A66" s="5" t="s">
        <v>957</v>
      </c>
      <c r="B66" s="5"/>
      <c r="C66" s="5"/>
      <c r="D66" s="5"/>
      <c r="E66" s="5"/>
      <c r="F66" s="5"/>
      <c r="G66" s="5"/>
      <c r="H66" s="5"/>
      <c r="I66" s="5"/>
      <c r="J66" s="5" t="n">
        <v>0</v>
      </c>
      <c r="K66" s="5"/>
      <c r="L66" s="5" t="s">
        <v>776</v>
      </c>
      <c r="M66" s="7" t="s">
        <v>886</v>
      </c>
    </row>
    <row r="67" customFormat="false" ht="15" hidden="false" customHeight="false" outlineLevel="0" collapsed="false">
      <c r="A67" s="5" t="s">
        <v>958</v>
      </c>
      <c r="B67" s="5"/>
      <c r="C67" s="5"/>
      <c r="D67" s="5"/>
      <c r="E67" s="5"/>
      <c r="F67" s="5"/>
      <c r="G67" s="5"/>
      <c r="H67" s="5"/>
      <c r="I67" s="5"/>
      <c r="J67" s="5" t="n">
        <v>0</v>
      </c>
      <c r="K67" s="5"/>
      <c r="L67" s="5" t="s">
        <v>776</v>
      </c>
      <c r="M67" s="7" t="s">
        <v>886</v>
      </c>
    </row>
    <row r="68" customFormat="false" ht="15" hidden="false" customHeight="false" outlineLevel="0" collapsed="false">
      <c r="A68" s="5" t="s">
        <v>959</v>
      </c>
      <c r="B68" s="5"/>
      <c r="C68" s="5"/>
      <c r="D68" s="5"/>
      <c r="E68" s="5"/>
      <c r="F68" s="5"/>
      <c r="G68" s="5"/>
      <c r="H68" s="5"/>
      <c r="I68" s="5"/>
      <c r="J68" s="5" t="n">
        <v>0</v>
      </c>
      <c r="K68" s="5"/>
      <c r="L68" s="5" t="s">
        <v>776</v>
      </c>
      <c r="M68" s="7" t="s">
        <v>886</v>
      </c>
    </row>
    <row r="69" customFormat="false" ht="15" hidden="false" customHeight="false" outlineLevel="0" collapsed="false">
      <c r="A69" s="5" t="s">
        <v>960</v>
      </c>
      <c r="B69" s="5"/>
      <c r="C69" s="5"/>
      <c r="D69" s="5"/>
      <c r="E69" s="5"/>
      <c r="F69" s="5"/>
      <c r="G69" s="5"/>
      <c r="H69" s="5"/>
      <c r="I69" s="5"/>
      <c r="J69" s="5" t="n">
        <v>0</v>
      </c>
      <c r="K69" s="5"/>
      <c r="L69" s="5" t="s">
        <v>776</v>
      </c>
      <c r="M69" s="7" t="s">
        <v>886</v>
      </c>
    </row>
    <row r="70" customFormat="false" ht="15" hidden="false" customHeight="false" outlineLevel="0" collapsed="false">
      <c r="A70" s="5" t="s">
        <v>961</v>
      </c>
      <c r="B70" s="5"/>
      <c r="C70" s="5"/>
      <c r="D70" s="5"/>
      <c r="E70" s="5"/>
      <c r="F70" s="5"/>
      <c r="G70" s="5"/>
      <c r="H70" s="5"/>
      <c r="I70" s="5"/>
      <c r="J70" s="5" t="n">
        <v>0</v>
      </c>
      <c r="K70" s="5"/>
      <c r="L70" s="5" t="s">
        <v>776</v>
      </c>
      <c r="M70" s="7" t="s">
        <v>886</v>
      </c>
    </row>
    <row r="71" customFormat="false" ht="15" hidden="false" customHeight="false" outlineLevel="0" collapsed="false">
      <c r="A71" s="5" t="s">
        <v>962</v>
      </c>
      <c r="B71" s="5"/>
      <c r="C71" s="5"/>
      <c r="D71" s="5"/>
      <c r="E71" s="5"/>
      <c r="F71" s="5"/>
      <c r="G71" s="5"/>
      <c r="H71" s="5"/>
      <c r="I71" s="5"/>
      <c r="J71" s="5" t="n">
        <v>0</v>
      </c>
      <c r="K71" s="5"/>
      <c r="L71" s="5" t="s">
        <v>776</v>
      </c>
      <c r="M71" s="7" t="s">
        <v>886</v>
      </c>
    </row>
    <row r="72" customFormat="false" ht="15" hidden="false" customHeight="false" outlineLevel="0" collapsed="false">
      <c r="A72" s="5" t="s">
        <v>963</v>
      </c>
      <c r="B72" s="5"/>
      <c r="C72" s="5"/>
      <c r="D72" s="5"/>
      <c r="E72" s="5"/>
      <c r="F72" s="5"/>
      <c r="G72" s="5"/>
      <c r="H72" s="5"/>
      <c r="I72" s="5"/>
      <c r="J72" s="5" t="n">
        <v>0</v>
      </c>
      <c r="K72" s="5"/>
      <c r="L72" s="5" t="s">
        <v>776</v>
      </c>
      <c r="M72" s="7" t="s">
        <v>886</v>
      </c>
    </row>
    <row r="73" customFormat="false" ht="15" hidden="false" customHeight="false" outlineLevel="0" collapsed="false">
      <c r="A73" s="5" t="s">
        <v>964</v>
      </c>
      <c r="B73" s="5"/>
      <c r="C73" s="5"/>
      <c r="D73" s="5"/>
      <c r="E73" s="5"/>
      <c r="F73" s="5"/>
      <c r="G73" s="5"/>
      <c r="H73" s="5"/>
      <c r="I73" s="5"/>
      <c r="J73" s="5" t="n">
        <v>0</v>
      </c>
      <c r="K73" s="5"/>
      <c r="L73" s="5" t="s">
        <v>776</v>
      </c>
      <c r="M73" s="7" t="s">
        <v>886</v>
      </c>
    </row>
    <row r="74" customFormat="false" ht="15" hidden="false" customHeight="false" outlineLevel="0" collapsed="false">
      <c r="A74" s="5" t="s">
        <v>965</v>
      </c>
      <c r="B74" s="5"/>
      <c r="C74" s="5"/>
      <c r="D74" s="5"/>
      <c r="E74" s="5"/>
      <c r="F74" s="5"/>
      <c r="G74" s="5"/>
      <c r="H74" s="5"/>
      <c r="I74" s="5"/>
      <c r="J74" s="5" t="n">
        <v>0</v>
      </c>
      <c r="K74" s="5"/>
      <c r="L74" s="5" t="s">
        <v>776</v>
      </c>
      <c r="M74" s="7" t="s">
        <v>886</v>
      </c>
    </row>
    <row r="75" customFormat="false" ht="15" hidden="false" customHeight="false" outlineLevel="0" collapsed="false">
      <c r="A75" s="5" t="s">
        <v>966</v>
      </c>
      <c r="B75" s="5"/>
      <c r="C75" s="5"/>
      <c r="D75" s="5"/>
      <c r="E75" s="5"/>
      <c r="F75" s="5"/>
      <c r="G75" s="5"/>
      <c r="H75" s="5"/>
      <c r="I75" s="5"/>
      <c r="J75" s="5" t="n">
        <v>0</v>
      </c>
      <c r="K75" s="5"/>
      <c r="L75" s="5" t="s">
        <v>776</v>
      </c>
      <c r="M75" s="7" t="s">
        <v>886</v>
      </c>
    </row>
    <row r="76" customFormat="false" ht="15" hidden="false" customHeight="false" outlineLevel="0" collapsed="false">
      <c r="A76" s="5" t="s">
        <v>967</v>
      </c>
      <c r="B76" s="5"/>
      <c r="C76" s="5"/>
      <c r="D76" s="5"/>
      <c r="E76" s="5"/>
      <c r="F76" s="5"/>
      <c r="G76" s="5"/>
      <c r="H76" s="5"/>
      <c r="I76" s="5"/>
      <c r="J76" s="5" t="n">
        <v>0</v>
      </c>
      <c r="K76" s="5"/>
      <c r="L76" s="5" t="s">
        <v>776</v>
      </c>
      <c r="M76" s="7" t="s">
        <v>886</v>
      </c>
    </row>
    <row r="77" customFormat="false" ht="23.85" hidden="false" customHeight="false" outlineLevel="0" collapsed="false">
      <c r="A77" s="5" t="s">
        <v>968</v>
      </c>
      <c r="B77" s="5"/>
      <c r="C77" s="5"/>
      <c r="D77" s="5"/>
      <c r="E77" s="5"/>
      <c r="F77" s="5"/>
      <c r="G77" s="5"/>
      <c r="H77" s="5"/>
      <c r="I77" s="5"/>
      <c r="J77" s="5" t="n">
        <v>0</v>
      </c>
      <c r="K77" s="5"/>
      <c r="L77" s="5" t="s">
        <v>776</v>
      </c>
      <c r="M77" s="7" t="s">
        <v>886</v>
      </c>
    </row>
    <row r="78" customFormat="false" ht="23.85" hidden="false" customHeight="false" outlineLevel="0" collapsed="false">
      <c r="A78" s="5" t="s">
        <v>969</v>
      </c>
      <c r="B78" s="5"/>
      <c r="C78" s="5"/>
      <c r="D78" s="5"/>
      <c r="E78" s="5"/>
      <c r="F78" s="5"/>
      <c r="G78" s="5"/>
      <c r="H78" s="5"/>
      <c r="I78" s="5"/>
      <c r="J78" s="5" t="n">
        <v>0</v>
      </c>
      <c r="K78" s="5"/>
      <c r="L78" s="5" t="s">
        <v>776</v>
      </c>
      <c r="M78" s="7" t="s">
        <v>886</v>
      </c>
    </row>
    <row r="79" customFormat="false" ht="15" hidden="false" customHeight="false" outlineLevel="0" collapsed="false">
      <c r="A79" s="5" t="s">
        <v>970</v>
      </c>
      <c r="B79" s="5"/>
      <c r="C79" s="5"/>
      <c r="D79" s="5"/>
      <c r="E79" s="5"/>
      <c r="F79" s="5"/>
      <c r="G79" s="5"/>
      <c r="H79" s="5"/>
      <c r="I79" s="5"/>
      <c r="J79" s="5" t="n">
        <v>0</v>
      </c>
      <c r="K79" s="5"/>
      <c r="L79" s="5" t="s">
        <v>776</v>
      </c>
      <c r="M79" s="7" t="s">
        <v>886</v>
      </c>
    </row>
    <row r="80" customFormat="false" ht="15" hidden="false" customHeight="false" outlineLevel="0" collapsed="false">
      <c r="A80" s="5" t="s">
        <v>971</v>
      </c>
      <c r="B80" s="5"/>
      <c r="C80" s="5"/>
      <c r="D80" s="5"/>
      <c r="E80" s="5"/>
      <c r="F80" s="5"/>
      <c r="G80" s="5"/>
      <c r="H80" s="5"/>
      <c r="I80" s="5"/>
      <c r="J80" s="5" t="n">
        <v>0</v>
      </c>
      <c r="K80" s="5"/>
      <c r="L80" s="5" t="s">
        <v>776</v>
      </c>
      <c r="M80" s="7" t="s">
        <v>886</v>
      </c>
    </row>
    <row r="81" customFormat="false" ht="15" hidden="false" customHeight="false" outlineLevel="0" collapsed="false">
      <c r="A81" s="5" t="s">
        <v>972</v>
      </c>
      <c r="B81" s="5"/>
      <c r="C81" s="5"/>
      <c r="D81" s="5"/>
      <c r="E81" s="5"/>
      <c r="F81" s="5"/>
      <c r="G81" s="5"/>
      <c r="H81" s="5"/>
      <c r="I81" s="5"/>
      <c r="J81" s="5" t="n">
        <v>0</v>
      </c>
      <c r="K81" s="5"/>
      <c r="L81" s="5" t="s">
        <v>776</v>
      </c>
      <c r="M81" s="7" t="s">
        <v>886</v>
      </c>
    </row>
    <row r="82" customFormat="false" ht="15" hidden="false" customHeight="false" outlineLevel="0" collapsed="false">
      <c r="A82" s="5" t="s">
        <v>973</v>
      </c>
      <c r="B82" s="5"/>
      <c r="C82" s="5"/>
      <c r="D82" s="5"/>
      <c r="E82" s="5"/>
      <c r="F82" s="5"/>
      <c r="G82" s="5"/>
      <c r="H82" s="5"/>
      <c r="I82" s="5"/>
      <c r="J82" s="5" t="n">
        <v>0</v>
      </c>
      <c r="K82" s="5"/>
      <c r="L82" s="5" t="s">
        <v>776</v>
      </c>
      <c r="M82" s="7" t="s">
        <v>886</v>
      </c>
    </row>
    <row r="83" customFormat="false" ht="15" hidden="false" customHeight="false" outlineLevel="0" collapsed="false">
      <c r="A83" s="5" t="s">
        <v>974</v>
      </c>
      <c r="B83" s="5"/>
      <c r="C83" s="5"/>
      <c r="D83" s="5"/>
      <c r="E83" s="5"/>
      <c r="F83" s="5"/>
      <c r="G83" s="5"/>
      <c r="H83" s="5"/>
      <c r="I83" s="5"/>
      <c r="J83" s="5" t="n">
        <v>0</v>
      </c>
      <c r="K83" s="5"/>
      <c r="L83" s="5" t="s">
        <v>776</v>
      </c>
      <c r="M83" s="7" t="s">
        <v>886</v>
      </c>
    </row>
    <row r="84" customFormat="false" ht="15" hidden="false" customHeight="false" outlineLevel="0" collapsed="false">
      <c r="A84" s="5" t="s">
        <v>975</v>
      </c>
      <c r="B84" s="5"/>
      <c r="C84" s="5"/>
      <c r="D84" s="5"/>
      <c r="E84" s="5"/>
      <c r="F84" s="5"/>
      <c r="G84" s="5"/>
      <c r="H84" s="5"/>
      <c r="I84" s="5"/>
      <c r="J84" s="5" t="n">
        <v>0</v>
      </c>
      <c r="K84" s="5"/>
      <c r="L84" s="5" t="s">
        <v>776</v>
      </c>
      <c r="M84" s="7" t="s">
        <v>886</v>
      </c>
    </row>
    <row r="85" customFormat="false" ht="15" hidden="false" customHeight="false" outlineLevel="0" collapsed="false">
      <c r="A85" s="5" t="s">
        <v>976</v>
      </c>
      <c r="B85" s="5"/>
      <c r="C85" s="5"/>
      <c r="D85" s="5"/>
      <c r="E85" s="5"/>
      <c r="F85" s="5"/>
      <c r="G85" s="5"/>
      <c r="H85" s="5"/>
      <c r="I85" s="5"/>
      <c r="J85" s="5" t="n">
        <v>0</v>
      </c>
      <c r="K85" s="5"/>
      <c r="L85" s="5" t="s">
        <v>776</v>
      </c>
      <c r="M85" s="7" t="s">
        <v>886</v>
      </c>
    </row>
    <row r="86" customFormat="false" ht="23.85" hidden="false" customHeight="false" outlineLevel="0" collapsed="false">
      <c r="A86" s="5" t="s">
        <v>977</v>
      </c>
      <c r="B86" s="5"/>
      <c r="C86" s="5"/>
      <c r="D86" s="5"/>
      <c r="E86" s="5"/>
      <c r="F86" s="5"/>
      <c r="G86" s="5"/>
      <c r="H86" s="5"/>
      <c r="I86" s="5"/>
      <c r="J86" s="5" t="n">
        <v>0</v>
      </c>
      <c r="K86" s="5"/>
      <c r="L86" s="5" t="s">
        <v>776</v>
      </c>
      <c r="M86" s="7" t="s">
        <v>978</v>
      </c>
    </row>
    <row r="87" customFormat="false" ht="15" hidden="false" customHeight="false" outlineLevel="0" collapsed="false">
      <c r="A87" s="5" t="s">
        <v>979</v>
      </c>
      <c r="B87" s="5"/>
      <c r="C87" s="5"/>
      <c r="D87" s="5"/>
      <c r="E87" s="5"/>
      <c r="F87" s="5"/>
      <c r="G87" s="5"/>
      <c r="H87" s="5"/>
      <c r="I87" s="5"/>
      <c r="J87" s="5" t="n">
        <v>0</v>
      </c>
      <c r="K87" s="5"/>
      <c r="L87" s="5" t="s">
        <v>776</v>
      </c>
      <c r="M87" s="7" t="s">
        <v>886</v>
      </c>
    </row>
    <row r="88" customFormat="false" ht="15" hidden="false" customHeight="false" outlineLevel="0" collapsed="false">
      <c r="A88" s="5" t="s">
        <v>980</v>
      </c>
      <c r="B88" s="5"/>
      <c r="C88" s="5"/>
      <c r="D88" s="5"/>
      <c r="E88" s="5"/>
      <c r="F88" s="5"/>
      <c r="G88" s="5"/>
      <c r="H88" s="5"/>
      <c r="I88" s="5"/>
      <c r="J88" s="5" t="n">
        <v>0</v>
      </c>
      <c r="K88" s="5"/>
      <c r="L88" s="5" t="s">
        <v>776</v>
      </c>
      <c r="M88" s="7" t="s">
        <v>886</v>
      </c>
    </row>
    <row r="89" customFormat="false" ht="15" hidden="false" customHeight="false" outlineLevel="0" collapsed="false">
      <c r="A89" s="5" t="s">
        <v>981</v>
      </c>
      <c r="B89" s="5"/>
      <c r="C89" s="5"/>
      <c r="D89" s="5"/>
      <c r="E89" s="5"/>
      <c r="F89" s="5"/>
      <c r="G89" s="5"/>
      <c r="H89" s="5"/>
      <c r="I89" s="5"/>
      <c r="J89" s="5" t="n">
        <v>0</v>
      </c>
      <c r="K89" s="5"/>
      <c r="L89" s="5" t="s">
        <v>776</v>
      </c>
      <c r="M89" s="7" t="s">
        <v>886</v>
      </c>
    </row>
    <row r="90" customFormat="false" ht="15" hidden="false" customHeight="false" outlineLevel="0" collapsed="false">
      <c r="A90" s="5" t="s">
        <v>982</v>
      </c>
      <c r="B90" s="5"/>
      <c r="C90" s="5"/>
      <c r="D90" s="5"/>
      <c r="E90" s="5"/>
      <c r="F90" s="5"/>
      <c r="G90" s="5"/>
      <c r="H90" s="5"/>
      <c r="I90" s="5"/>
      <c r="J90" s="5" t="n">
        <v>0</v>
      </c>
      <c r="K90" s="5"/>
      <c r="L90" s="5" t="s">
        <v>776</v>
      </c>
      <c r="M90" s="7" t="s">
        <v>886</v>
      </c>
    </row>
    <row r="91" customFormat="false" ht="15" hidden="false" customHeight="false" outlineLevel="0" collapsed="false">
      <c r="A91" s="5" t="s">
        <v>983</v>
      </c>
      <c r="B91" s="5"/>
      <c r="C91" s="5"/>
      <c r="D91" s="5"/>
      <c r="E91" s="5"/>
      <c r="F91" s="5"/>
      <c r="G91" s="5"/>
      <c r="H91" s="5"/>
      <c r="I91" s="5"/>
      <c r="J91" s="5" t="n">
        <v>0</v>
      </c>
      <c r="K91" s="5"/>
      <c r="L91" s="5" t="s">
        <v>776</v>
      </c>
      <c r="M91" s="7" t="s">
        <v>886</v>
      </c>
    </row>
    <row r="92" customFormat="false" ht="15" hidden="false" customHeight="false" outlineLevel="0" collapsed="false">
      <c r="A92" s="5" t="s">
        <v>984</v>
      </c>
      <c r="B92" s="5"/>
      <c r="C92" s="5"/>
      <c r="D92" s="5"/>
      <c r="E92" s="5"/>
      <c r="F92" s="5"/>
      <c r="G92" s="5"/>
      <c r="H92" s="5"/>
      <c r="I92" s="5"/>
      <c r="J92" s="5" t="n">
        <v>0</v>
      </c>
      <c r="K92" s="5"/>
      <c r="L92" s="5" t="s">
        <v>776</v>
      </c>
      <c r="M92" s="7" t="s">
        <v>886</v>
      </c>
    </row>
    <row r="93" customFormat="false" ht="15" hidden="false" customHeight="false" outlineLevel="0" collapsed="false">
      <c r="A93" s="5" t="s">
        <v>985</v>
      </c>
      <c r="B93" s="5"/>
      <c r="C93" s="5"/>
      <c r="D93" s="5"/>
      <c r="E93" s="5"/>
      <c r="F93" s="5"/>
      <c r="G93" s="5"/>
      <c r="H93" s="5"/>
      <c r="I93" s="5"/>
      <c r="J93" s="5" t="n">
        <v>0</v>
      </c>
      <c r="K93" s="5"/>
      <c r="L93" s="5" t="s">
        <v>776</v>
      </c>
      <c r="M93" s="7" t="s">
        <v>886</v>
      </c>
    </row>
    <row r="94" customFormat="false" ht="15" hidden="false" customHeight="false" outlineLevel="0" collapsed="false">
      <c r="A94" s="5" t="s">
        <v>986</v>
      </c>
      <c r="B94" s="5"/>
      <c r="C94" s="5"/>
      <c r="D94" s="5"/>
      <c r="E94" s="5"/>
      <c r="F94" s="5"/>
      <c r="G94" s="5"/>
      <c r="H94" s="5"/>
      <c r="I94" s="5"/>
      <c r="J94" s="5" t="n">
        <v>0</v>
      </c>
      <c r="K94" s="5"/>
      <c r="L94" s="5" t="s">
        <v>776</v>
      </c>
      <c r="M94" s="7" t="s">
        <v>886</v>
      </c>
    </row>
    <row r="95" customFormat="false" ht="15" hidden="false" customHeight="false" outlineLevel="0" collapsed="false">
      <c r="A95" s="5" t="s">
        <v>987</v>
      </c>
      <c r="B95" s="5"/>
      <c r="C95" s="5"/>
      <c r="D95" s="5"/>
      <c r="E95" s="5"/>
      <c r="F95" s="5"/>
      <c r="G95" s="5"/>
      <c r="H95" s="5"/>
      <c r="I95" s="5"/>
      <c r="J95" s="5" t="n">
        <v>0</v>
      </c>
      <c r="K95" s="5"/>
      <c r="L95" s="5" t="s">
        <v>776</v>
      </c>
      <c r="M95" s="7" t="s">
        <v>886</v>
      </c>
    </row>
    <row r="96" customFormat="false" ht="15" hidden="false" customHeight="false" outlineLevel="0" collapsed="false">
      <c r="A96" s="5" t="s">
        <v>988</v>
      </c>
      <c r="B96" s="5"/>
      <c r="C96" s="5"/>
      <c r="D96" s="5"/>
      <c r="E96" s="5"/>
      <c r="F96" s="5"/>
      <c r="G96" s="5"/>
      <c r="H96" s="5"/>
      <c r="I96" s="5"/>
      <c r="J96" s="5" t="n">
        <v>0</v>
      </c>
      <c r="K96" s="5"/>
      <c r="L96" s="5" t="s">
        <v>776</v>
      </c>
      <c r="M96" s="7" t="s">
        <v>886</v>
      </c>
    </row>
    <row r="97" customFormat="false" ht="15" hidden="false" customHeight="false" outlineLevel="0" collapsed="false">
      <c r="A97" s="5" t="s">
        <v>989</v>
      </c>
      <c r="B97" s="5"/>
      <c r="C97" s="5"/>
      <c r="D97" s="5"/>
      <c r="E97" s="5"/>
      <c r="F97" s="5"/>
      <c r="G97" s="5"/>
      <c r="H97" s="5"/>
      <c r="I97" s="5"/>
      <c r="J97" s="5" t="n">
        <v>0</v>
      </c>
      <c r="K97" s="5"/>
      <c r="L97" s="5" t="s">
        <v>776</v>
      </c>
      <c r="M97" s="7" t="s">
        <v>886</v>
      </c>
    </row>
    <row r="98" customFormat="false" ht="15" hidden="false" customHeight="false" outlineLevel="0" collapsed="false">
      <c r="A98" s="5" t="s">
        <v>990</v>
      </c>
      <c r="B98" s="5"/>
      <c r="C98" s="5"/>
      <c r="D98" s="5"/>
      <c r="E98" s="5"/>
      <c r="F98" s="5"/>
      <c r="G98" s="5"/>
      <c r="H98" s="5"/>
      <c r="I98" s="5"/>
      <c r="J98" s="5" t="n">
        <v>0</v>
      </c>
      <c r="K98" s="5"/>
      <c r="L98" s="5" t="s">
        <v>776</v>
      </c>
      <c r="M98" s="7" t="s">
        <v>886</v>
      </c>
    </row>
    <row r="99" customFormat="false" ht="15" hidden="false" customHeight="false" outlineLevel="0" collapsed="false">
      <c r="A99" s="5" t="s">
        <v>991</v>
      </c>
      <c r="B99" s="5"/>
      <c r="C99" s="5"/>
      <c r="D99" s="5"/>
      <c r="E99" s="5"/>
      <c r="F99" s="5"/>
      <c r="G99" s="5"/>
      <c r="H99" s="5"/>
      <c r="I99" s="5"/>
      <c r="J99" s="5" t="n">
        <v>0</v>
      </c>
      <c r="K99" s="5"/>
      <c r="L99" s="5" t="s">
        <v>776</v>
      </c>
      <c r="M99" s="7" t="s">
        <v>886</v>
      </c>
    </row>
    <row r="100" customFormat="false" ht="15" hidden="false" customHeight="false" outlineLevel="0" collapsed="false">
      <c r="A100" s="5" t="s">
        <v>992</v>
      </c>
      <c r="B100" s="5"/>
      <c r="C100" s="5"/>
      <c r="D100" s="5"/>
      <c r="E100" s="5"/>
      <c r="F100" s="5"/>
      <c r="G100" s="5"/>
      <c r="H100" s="5"/>
      <c r="I100" s="5"/>
      <c r="J100" s="5" t="n">
        <v>0</v>
      </c>
      <c r="K100" s="5"/>
      <c r="L100" s="5" t="s">
        <v>776</v>
      </c>
      <c r="M100" s="7" t="s">
        <v>886</v>
      </c>
    </row>
    <row r="101" customFormat="false" ht="15" hidden="false" customHeight="false" outlineLevel="0" collapsed="false">
      <c r="A101" s="5" t="s">
        <v>993</v>
      </c>
      <c r="B101" s="5"/>
      <c r="C101" s="5"/>
      <c r="D101" s="5"/>
      <c r="E101" s="5"/>
      <c r="F101" s="5"/>
      <c r="G101" s="5"/>
      <c r="H101" s="5"/>
      <c r="I101" s="5"/>
      <c r="J101" s="5" t="n">
        <v>0</v>
      </c>
      <c r="K101" s="5"/>
      <c r="L101" s="5" t="s">
        <v>776</v>
      </c>
      <c r="M101" s="7" t="s">
        <v>886</v>
      </c>
    </row>
    <row r="102" customFormat="false" ht="15" hidden="false" customHeight="false" outlineLevel="0" collapsed="false">
      <c r="A102" s="5" t="s">
        <v>994</v>
      </c>
      <c r="B102" s="5"/>
      <c r="C102" s="5"/>
      <c r="D102" s="5"/>
      <c r="E102" s="5"/>
      <c r="F102" s="5"/>
      <c r="G102" s="5"/>
      <c r="H102" s="5"/>
      <c r="I102" s="5"/>
      <c r="J102" s="5" t="n">
        <v>0</v>
      </c>
      <c r="K102" s="5"/>
      <c r="L102" s="5" t="s">
        <v>776</v>
      </c>
      <c r="M102" s="7" t="s">
        <v>886</v>
      </c>
    </row>
    <row r="103" customFormat="false" ht="15" hidden="false" customHeight="false" outlineLevel="0" collapsed="false">
      <c r="A103" s="5" t="s">
        <v>995</v>
      </c>
      <c r="B103" s="5"/>
      <c r="C103" s="5"/>
      <c r="D103" s="5"/>
      <c r="E103" s="5"/>
      <c r="F103" s="5"/>
      <c r="G103" s="5"/>
      <c r="H103" s="5"/>
      <c r="I103" s="5"/>
      <c r="J103" s="5" t="n">
        <v>0</v>
      </c>
      <c r="K103" s="5"/>
      <c r="L103" s="5" t="s">
        <v>776</v>
      </c>
      <c r="M103" s="7" t="s">
        <v>886</v>
      </c>
    </row>
    <row r="104" customFormat="false" ht="15" hidden="false" customHeight="false" outlineLevel="0" collapsed="false">
      <c r="A104" s="5" t="s">
        <v>996</v>
      </c>
      <c r="B104" s="5"/>
      <c r="C104" s="5"/>
      <c r="D104" s="5"/>
      <c r="E104" s="5"/>
      <c r="F104" s="5"/>
      <c r="G104" s="5"/>
      <c r="H104" s="5"/>
      <c r="I104" s="5"/>
      <c r="J104" s="5" t="n">
        <v>0</v>
      </c>
      <c r="K104" s="5"/>
      <c r="L104" s="5" t="s">
        <v>776</v>
      </c>
      <c r="M104" s="7" t="s">
        <v>886</v>
      </c>
    </row>
    <row r="105" customFormat="false" ht="15" hidden="false" customHeight="false" outlineLevel="0" collapsed="false">
      <c r="A105" s="5" t="s">
        <v>997</v>
      </c>
      <c r="B105" s="5"/>
      <c r="C105" s="5"/>
      <c r="D105" s="5"/>
      <c r="E105" s="5"/>
      <c r="F105" s="5"/>
      <c r="G105" s="5"/>
      <c r="H105" s="5"/>
      <c r="I105" s="5"/>
      <c r="J105" s="5" t="n">
        <v>0</v>
      </c>
      <c r="K105" s="5"/>
      <c r="L105" s="5" t="s">
        <v>776</v>
      </c>
      <c r="M105" s="7" t="s">
        <v>886</v>
      </c>
    </row>
    <row r="106" customFormat="false" ht="15" hidden="false" customHeight="false" outlineLevel="0" collapsed="false">
      <c r="A106" s="5" t="s">
        <v>998</v>
      </c>
      <c r="B106" s="5"/>
      <c r="C106" s="5"/>
      <c r="D106" s="5"/>
      <c r="E106" s="5"/>
      <c r="F106" s="5"/>
      <c r="G106" s="5"/>
      <c r="H106" s="5"/>
      <c r="I106" s="5"/>
      <c r="J106" s="5" t="n">
        <v>0</v>
      </c>
      <c r="K106" s="5"/>
      <c r="L106" s="5" t="s">
        <v>776</v>
      </c>
      <c r="M106" s="7" t="s">
        <v>886</v>
      </c>
    </row>
    <row r="107" customFormat="false" ht="15" hidden="false" customHeight="false" outlineLevel="0" collapsed="false">
      <c r="A107" s="5" t="s">
        <v>999</v>
      </c>
      <c r="B107" s="5"/>
      <c r="C107" s="5"/>
      <c r="D107" s="5"/>
      <c r="E107" s="5"/>
      <c r="F107" s="5"/>
      <c r="G107" s="5"/>
      <c r="H107" s="5"/>
      <c r="I107" s="5"/>
      <c r="J107" s="5" t="n">
        <v>0</v>
      </c>
      <c r="K107" s="5"/>
      <c r="L107" s="5" t="s">
        <v>776</v>
      </c>
      <c r="M107" s="7" t="s">
        <v>886</v>
      </c>
    </row>
    <row r="108" customFormat="false" ht="15" hidden="false" customHeight="false" outlineLevel="0" collapsed="false">
      <c r="A108" s="5" t="s">
        <v>1000</v>
      </c>
      <c r="B108" s="5"/>
      <c r="C108" s="5"/>
      <c r="D108" s="5"/>
      <c r="E108" s="5"/>
      <c r="F108" s="5"/>
      <c r="G108" s="5"/>
      <c r="H108" s="5"/>
      <c r="I108" s="5"/>
      <c r="J108" s="5" t="n">
        <v>0</v>
      </c>
      <c r="K108" s="5"/>
      <c r="L108" s="5" t="s">
        <v>776</v>
      </c>
      <c r="M108" s="7" t="s">
        <v>886</v>
      </c>
    </row>
    <row r="109" customFormat="false" ht="15" hidden="false" customHeight="false" outlineLevel="0" collapsed="false">
      <c r="A109" s="5" t="s">
        <v>1001</v>
      </c>
      <c r="B109" s="5"/>
      <c r="C109" s="5"/>
      <c r="D109" s="5"/>
      <c r="E109" s="5"/>
      <c r="F109" s="5"/>
      <c r="G109" s="5"/>
      <c r="H109" s="5"/>
      <c r="I109" s="5"/>
      <c r="J109" s="5" t="n">
        <v>0</v>
      </c>
      <c r="K109" s="5"/>
      <c r="L109" s="5" t="s">
        <v>776</v>
      </c>
      <c r="M109" s="7" t="s">
        <v>886</v>
      </c>
    </row>
    <row r="110" customFormat="false" ht="15" hidden="false" customHeight="false" outlineLevel="0" collapsed="false">
      <c r="A110" s="5" t="s">
        <v>1002</v>
      </c>
      <c r="B110" s="5" t="s">
        <v>1530</v>
      </c>
      <c r="C110" s="5" t="s">
        <v>1531</v>
      </c>
      <c r="D110" s="5" t="s">
        <v>783</v>
      </c>
      <c r="E110" s="5" t="s">
        <v>1532</v>
      </c>
      <c r="F110" s="5" t="s">
        <v>1533</v>
      </c>
      <c r="G110" s="5" t="s">
        <v>1534</v>
      </c>
      <c r="H110" s="5"/>
      <c r="I110" s="5" t="s">
        <v>1022</v>
      </c>
      <c r="J110" s="5" t="n">
        <v>1</v>
      </c>
      <c r="K110" s="5" t="s">
        <v>1535</v>
      </c>
      <c r="L110" s="5" t="s">
        <v>776</v>
      </c>
      <c r="M110" s="5"/>
    </row>
    <row r="111" customFormat="false" ht="23.85" hidden="false" customHeight="false" outlineLevel="0" collapsed="false">
      <c r="A111" s="5" t="s">
        <v>1004</v>
      </c>
      <c r="B111" s="5"/>
      <c r="C111" s="5"/>
      <c r="D111" s="5"/>
      <c r="E111" s="5"/>
      <c r="F111" s="5"/>
      <c r="G111" s="5"/>
      <c r="H111" s="5"/>
      <c r="I111" s="5"/>
      <c r="J111" s="5" t="n">
        <v>0</v>
      </c>
      <c r="K111" s="5"/>
      <c r="L111" s="5" t="s">
        <v>776</v>
      </c>
      <c r="M111" s="7" t="s">
        <v>1005</v>
      </c>
    </row>
    <row r="112" customFormat="false" ht="15" hidden="false" customHeight="false" outlineLevel="0" collapsed="false">
      <c r="A112" s="5" t="s">
        <v>1006</v>
      </c>
      <c r="B112" s="5"/>
      <c r="C112" s="5"/>
      <c r="D112" s="5"/>
      <c r="E112" s="5"/>
      <c r="F112" s="5"/>
      <c r="G112" s="5"/>
      <c r="H112" s="5"/>
      <c r="I112" s="5"/>
      <c r="J112" s="5" t="n">
        <v>0</v>
      </c>
      <c r="K112" s="5"/>
      <c r="L112" s="5" t="s">
        <v>776</v>
      </c>
      <c r="M112" s="7" t="s">
        <v>886</v>
      </c>
    </row>
    <row r="113" customFormat="false" ht="23.85" hidden="false" customHeight="false" outlineLevel="0" collapsed="false">
      <c r="A113" s="5" t="s">
        <v>1007</v>
      </c>
      <c r="B113" s="5"/>
      <c r="C113" s="5"/>
      <c r="D113" s="5"/>
      <c r="E113" s="5"/>
      <c r="F113" s="5"/>
      <c r="G113" s="5"/>
      <c r="H113" s="5"/>
      <c r="I113" s="5"/>
      <c r="J113" s="5" t="n">
        <v>0</v>
      </c>
      <c r="K113" s="5"/>
      <c r="L113" s="5" t="s">
        <v>776</v>
      </c>
      <c r="M113" s="7" t="s">
        <v>1008</v>
      </c>
    </row>
    <row r="114" customFormat="false" ht="15" hidden="false" customHeight="false" outlineLevel="0" collapsed="false">
      <c r="A114" s="5" t="s">
        <v>1009</v>
      </c>
      <c r="B114" s="5" t="s">
        <v>1536</v>
      </c>
      <c r="C114" s="5" t="s">
        <v>1537</v>
      </c>
      <c r="D114" s="5" t="s">
        <v>783</v>
      </c>
      <c r="E114" s="5" t="s">
        <v>1538</v>
      </c>
      <c r="F114" s="5" t="s">
        <v>1539</v>
      </c>
      <c r="G114" s="5" t="s">
        <v>1540</v>
      </c>
      <c r="H114" s="5"/>
      <c r="I114" s="5"/>
      <c r="J114" s="5" t="n">
        <v>1</v>
      </c>
      <c r="K114" s="5" t="s">
        <v>1541</v>
      </c>
      <c r="L114" s="5" t="s">
        <v>776</v>
      </c>
      <c r="M114" s="5"/>
    </row>
    <row r="115" customFormat="false" ht="15" hidden="false" customHeight="false" outlineLevel="0" collapsed="false">
      <c r="A115" s="5" t="s">
        <v>1011</v>
      </c>
      <c r="B115" s="5"/>
      <c r="C115" s="5"/>
      <c r="D115" s="5"/>
      <c r="E115" s="5"/>
      <c r="F115" s="5"/>
      <c r="G115" s="5"/>
      <c r="H115" s="5"/>
      <c r="I115" s="5"/>
      <c r="J115" s="5" t="n">
        <v>0</v>
      </c>
      <c r="K115" s="5"/>
      <c r="L115" s="5" t="s">
        <v>776</v>
      </c>
      <c r="M115" s="7" t="s">
        <v>886</v>
      </c>
    </row>
    <row r="116" customFormat="false" ht="23.85" hidden="false" customHeight="false" outlineLevel="0" collapsed="false">
      <c r="A116" s="5" t="s">
        <v>1012</v>
      </c>
      <c r="B116" s="5"/>
      <c r="C116" s="5"/>
      <c r="D116" s="5"/>
      <c r="E116" s="5"/>
      <c r="F116" s="5"/>
      <c r="G116" s="5"/>
      <c r="H116" s="5"/>
      <c r="I116" s="5"/>
      <c r="J116" s="5" t="n">
        <v>0</v>
      </c>
      <c r="K116" s="5"/>
      <c r="L116" s="5" t="s">
        <v>776</v>
      </c>
      <c r="M116" s="7" t="s">
        <v>886</v>
      </c>
    </row>
    <row r="117" customFormat="false" ht="15" hidden="false" customHeight="false" outlineLevel="0" collapsed="false">
      <c r="A117" s="5" t="s">
        <v>1013</v>
      </c>
      <c r="B117" s="5"/>
      <c r="C117" s="5"/>
      <c r="D117" s="5"/>
      <c r="E117" s="5"/>
      <c r="F117" s="5"/>
      <c r="G117" s="5"/>
      <c r="H117" s="5"/>
      <c r="I117" s="5"/>
      <c r="J117" s="5" t="n">
        <v>0</v>
      </c>
      <c r="K117" s="5"/>
      <c r="L117" s="5" t="s">
        <v>776</v>
      </c>
      <c r="M117" s="7" t="s">
        <v>886</v>
      </c>
    </row>
    <row r="118" customFormat="false" ht="15" hidden="false" customHeight="false" outlineLevel="0" collapsed="false">
      <c r="A118" s="5" t="s">
        <v>1014</v>
      </c>
      <c r="B118" s="5"/>
      <c r="C118" s="5"/>
      <c r="D118" s="5"/>
      <c r="E118" s="5"/>
      <c r="F118" s="5"/>
      <c r="G118" s="5"/>
      <c r="H118" s="5"/>
      <c r="I118" s="5"/>
      <c r="J118" s="5" t="n">
        <v>0</v>
      </c>
      <c r="K118" s="5"/>
      <c r="L118" s="5" t="s">
        <v>776</v>
      </c>
      <c r="M118" s="7" t="s">
        <v>886</v>
      </c>
    </row>
    <row r="119" customFormat="false" ht="15" hidden="false" customHeight="false" outlineLevel="0" collapsed="false">
      <c r="A119" s="5" t="s">
        <v>1015</v>
      </c>
      <c r="B119" s="5"/>
      <c r="C119" s="5"/>
      <c r="D119" s="5"/>
      <c r="E119" s="5"/>
      <c r="F119" s="5"/>
      <c r="G119" s="5"/>
      <c r="H119" s="5"/>
      <c r="I119" s="5"/>
      <c r="J119" s="5" t="n">
        <v>0</v>
      </c>
      <c r="K119" s="5"/>
      <c r="L119" s="5" t="s">
        <v>776</v>
      </c>
      <c r="M119" s="7" t="s">
        <v>886</v>
      </c>
    </row>
    <row r="120" customFormat="false" ht="15" hidden="false" customHeight="false" outlineLevel="0" collapsed="false">
      <c r="A120" s="5" t="s">
        <v>1016</v>
      </c>
      <c r="B120" s="5"/>
      <c r="C120" s="5"/>
      <c r="D120" s="5"/>
      <c r="E120" s="5"/>
      <c r="F120" s="5"/>
      <c r="G120" s="5"/>
      <c r="H120" s="5"/>
      <c r="I120" s="5"/>
      <c r="J120" s="5" t="n">
        <v>0</v>
      </c>
      <c r="K120" s="5"/>
      <c r="L120" s="5" t="s">
        <v>776</v>
      </c>
      <c r="M120" s="7" t="s">
        <v>886</v>
      </c>
    </row>
    <row r="121" customFormat="false" ht="15" hidden="false" customHeight="false" outlineLevel="0" collapsed="false">
      <c r="A121" s="5" t="s">
        <v>1017</v>
      </c>
      <c r="B121" s="5"/>
      <c r="C121" s="5"/>
      <c r="D121" s="5"/>
      <c r="E121" s="5"/>
      <c r="F121" s="5"/>
      <c r="G121" s="5"/>
      <c r="H121" s="5"/>
      <c r="I121" s="5"/>
      <c r="J121" s="5" t="n">
        <v>0</v>
      </c>
      <c r="K121" s="5"/>
      <c r="L121" s="5" t="s">
        <v>776</v>
      </c>
      <c r="M121" s="7" t="s">
        <v>886</v>
      </c>
    </row>
    <row r="122" customFormat="false" ht="15" hidden="false" customHeight="false" outlineLevel="0" collapsed="false">
      <c r="A122" s="5" t="s">
        <v>1018</v>
      </c>
      <c r="B122" s="5"/>
      <c r="C122" s="5"/>
      <c r="D122" s="5"/>
      <c r="E122" s="5"/>
      <c r="F122" s="5"/>
      <c r="G122" s="5"/>
      <c r="H122" s="5"/>
      <c r="I122" s="5"/>
      <c r="J122" s="5" t="n">
        <v>0</v>
      </c>
      <c r="K122" s="5"/>
      <c r="L122" s="5" t="s">
        <v>776</v>
      </c>
      <c r="M122" s="7" t="s">
        <v>886</v>
      </c>
    </row>
    <row r="123" customFormat="false" ht="15" hidden="false" customHeight="false" outlineLevel="0" collapsed="false">
      <c r="A123" s="5" t="s">
        <v>1019</v>
      </c>
      <c r="B123" s="5"/>
      <c r="C123" s="5"/>
      <c r="D123" s="5"/>
      <c r="E123" s="5"/>
      <c r="F123" s="5"/>
      <c r="G123" s="5"/>
      <c r="H123" s="5"/>
      <c r="I123" s="5"/>
      <c r="J123" s="5" t="n">
        <v>0</v>
      </c>
      <c r="K123" s="5"/>
      <c r="L123" s="5" t="s">
        <v>776</v>
      </c>
      <c r="M123" s="7" t="s">
        <v>886</v>
      </c>
    </row>
    <row r="124" customFormat="false" ht="15" hidden="false" customHeight="false" outlineLevel="0" collapsed="false">
      <c r="A124" s="5" t="s">
        <v>1020</v>
      </c>
      <c r="B124" s="5"/>
      <c r="C124" s="5"/>
      <c r="D124" s="5"/>
      <c r="E124" s="5"/>
      <c r="F124" s="5"/>
      <c r="G124" s="5"/>
      <c r="H124" s="5"/>
      <c r="I124" s="5"/>
      <c r="J124" s="5" t="n">
        <v>0</v>
      </c>
      <c r="K124" s="5"/>
      <c r="L124" s="5" t="s">
        <v>776</v>
      </c>
      <c r="M124" s="7" t="s">
        <v>886</v>
      </c>
    </row>
    <row r="125" customFormat="false" ht="15" hidden="false" customHeight="false" outlineLevel="0" collapsed="false">
      <c r="A125" s="5" t="s">
        <v>1021</v>
      </c>
      <c r="B125" s="5"/>
      <c r="C125" s="5"/>
      <c r="D125" s="5"/>
      <c r="E125" s="5"/>
      <c r="F125" s="5"/>
      <c r="G125" s="5"/>
      <c r="H125" s="5"/>
      <c r="I125" s="5"/>
      <c r="J125" s="5" t="n">
        <v>0</v>
      </c>
      <c r="K125" s="5"/>
      <c r="L125" s="5" t="s">
        <v>776</v>
      </c>
      <c r="M125" s="7" t="s">
        <v>886</v>
      </c>
    </row>
    <row r="127" customFormat="false" ht="158.2" hidden="false" customHeight="false" outlineLevel="0" collapsed="false">
      <c r="A127" s="2" t="s">
        <v>1509</v>
      </c>
      <c r="B127" s="3" t="s">
        <v>1542</v>
      </c>
    </row>
  </sheetData>
  <autoFilter ref="A1:M1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4" min="3" style="0" width="11"/>
    <col collapsed="false" customWidth="true" hidden="false" outlineLevel="0" max="5" min="5" style="0" width="20"/>
    <col collapsed="false" customWidth="true" hidden="false" outlineLevel="0" max="6" min="6" style="0" width="16"/>
    <col collapsed="false" customWidth="true" hidden="false" outlineLevel="0" max="7" min="7" style="0" width="7"/>
    <col collapsed="false" customWidth="true" hidden="false" outlineLevel="0" max="8" min="8" style="0" width="11"/>
    <col collapsed="false" customWidth="true" hidden="false" outlineLevel="0" max="9" min="9" style="0" width="6"/>
    <col collapsed="false" customWidth="true" hidden="false" outlineLevel="0" max="10" min="10" style="0" width="8"/>
    <col collapsed="false" customWidth="true" hidden="false" outlineLevel="0" max="11" min="11" style="0" width="30"/>
    <col collapsed="false" customWidth="true" hidden="false" outlineLevel="0" max="12" min="12" style="0" width="14"/>
    <col collapsed="false" customWidth="true" hidden="false" outlineLevel="0" max="13" min="13" style="0" width="6"/>
    <col collapsed="false" customWidth="true" hidden="false" outlineLevel="0" max="14" min="14" style="0" width="9"/>
    <col collapsed="false" customWidth="true" hidden="false" outlineLevel="0" max="15" min="15" style="0" width="8"/>
    <col collapsed="false" customWidth="true" hidden="false" outlineLevel="0" max="16" min="16" style="0" width="6"/>
    <col collapsed="false" customWidth="true" hidden="false" outlineLevel="0" max="18" min="17" style="0" width="8"/>
    <col collapsed="false" customWidth="true" hidden="false" outlineLevel="0" max="19" min="19" style="0" width="12"/>
    <col collapsed="false" customWidth="true" hidden="false" outlineLevel="0" max="20" min="20" style="0" width="10"/>
    <col collapsed="false" customWidth="true" hidden="false" outlineLevel="0" max="21" min="21" style="0" width="34"/>
    <col collapsed="false" customWidth="true" hidden="false" outlineLevel="0" max="22" min="22" style="0" width="70"/>
  </cols>
  <sheetData>
    <row r="1" customFormat="false" ht="30" hidden="false" customHeight="true" outlineLevel="0" collapsed="false">
      <c r="A1" s="4" t="s">
        <v>1543</v>
      </c>
      <c r="B1" s="4" t="s">
        <v>234</v>
      </c>
      <c r="C1" s="4" t="s">
        <v>1544</v>
      </c>
      <c r="D1" s="4" t="s">
        <v>1545</v>
      </c>
      <c r="E1" s="4" t="s">
        <v>1546</v>
      </c>
      <c r="F1" s="4" t="s">
        <v>1547</v>
      </c>
      <c r="G1" s="4" t="s">
        <v>1548</v>
      </c>
      <c r="H1" s="4" t="s">
        <v>432</v>
      </c>
      <c r="I1" s="4" t="s">
        <v>401</v>
      </c>
      <c r="J1" s="4" t="s">
        <v>1549</v>
      </c>
      <c r="K1" s="4" t="s">
        <v>420</v>
      </c>
      <c r="L1" s="4" t="s">
        <v>424</v>
      </c>
      <c r="M1" s="4" t="s">
        <v>382</v>
      </c>
      <c r="N1" s="4" t="s">
        <v>1550</v>
      </c>
      <c r="O1" s="4" t="s">
        <v>121</v>
      </c>
      <c r="P1" s="4" t="s">
        <v>1551</v>
      </c>
      <c r="Q1" s="4" t="s">
        <v>1552</v>
      </c>
      <c r="R1" s="4" t="s">
        <v>1553</v>
      </c>
      <c r="S1" s="4" t="s">
        <v>1554</v>
      </c>
      <c r="T1" s="4" t="s">
        <v>199</v>
      </c>
      <c r="U1" s="4" t="s">
        <v>1512</v>
      </c>
      <c r="V1" s="4" t="s">
        <v>738</v>
      </c>
    </row>
    <row r="2" customFormat="false" ht="35.05" hidden="false" customHeight="false" outlineLevel="0" collapsed="false">
      <c r="A2" s="5" t="s">
        <v>1555</v>
      </c>
      <c r="B2" s="7" t="s">
        <v>799</v>
      </c>
      <c r="C2" s="5"/>
      <c r="D2" s="5"/>
      <c r="E2" s="5"/>
      <c r="F2" s="5"/>
      <c r="G2" s="5"/>
      <c r="H2" s="5"/>
      <c r="I2" s="5"/>
      <c r="J2" s="5"/>
      <c r="K2" s="5"/>
      <c r="L2" s="5"/>
      <c r="M2" s="5"/>
      <c r="N2" s="5" t="s">
        <v>207</v>
      </c>
      <c r="O2" s="5" t="s">
        <v>71</v>
      </c>
      <c r="P2" s="5" t="n">
        <v>0</v>
      </c>
      <c r="Q2" s="5"/>
      <c r="R2" s="5" t="s">
        <v>1556</v>
      </c>
      <c r="S2" s="5" t="s">
        <v>1557</v>
      </c>
      <c r="T2" s="5"/>
      <c r="U2" s="5"/>
      <c r="V2" s="7" t="s">
        <v>1558</v>
      </c>
    </row>
    <row r="3" customFormat="false" ht="46.25" hidden="false" customHeight="false" outlineLevel="0" collapsed="false">
      <c r="A3" s="5" t="s">
        <v>1559</v>
      </c>
      <c r="B3" s="7" t="s">
        <v>801</v>
      </c>
      <c r="C3" s="5"/>
      <c r="D3" s="5"/>
      <c r="E3" s="5"/>
      <c r="F3" s="5"/>
      <c r="G3" s="5"/>
      <c r="H3" s="5"/>
      <c r="I3" s="5"/>
      <c r="J3" s="5"/>
      <c r="K3" s="5"/>
      <c r="L3" s="5"/>
      <c r="M3" s="5"/>
      <c r="N3" s="5" t="s">
        <v>207</v>
      </c>
      <c r="O3" s="5" t="s">
        <v>71</v>
      </c>
      <c r="P3" s="5" t="n">
        <v>0</v>
      </c>
      <c r="Q3" s="5"/>
      <c r="R3" s="5" t="s">
        <v>1556</v>
      </c>
      <c r="S3" s="5" t="s">
        <v>1557</v>
      </c>
      <c r="T3" s="5"/>
      <c r="U3" s="5"/>
      <c r="V3" s="7" t="s">
        <v>1560</v>
      </c>
    </row>
    <row r="4" customFormat="false" ht="35.05" hidden="false" customHeight="false" outlineLevel="0" collapsed="false">
      <c r="A4" s="5" t="s">
        <v>1561</v>
      </c>
      <c r="B4" s="7" t="s">
        <v>799</v>
      </c>
      <c r="C4" s="5"/>
      <c r="D4" s="5"/>
      <c r="E4" s="5"/>
      <c r="F4" s="5"/>
      <c r="G4" s="5"/>
      <c r="H4" s="5"/>
      <c r="I4" s="5"/>
      <c r="J4" s="5"/>
      <c r="K4" s="5"/>
      <c r="L4" s="5"/>
      <c r="M4" s="5"/>
      <c r="N4" s="5" t="s">
        <v>207</v>
      </c>
      <c r="O4" s="5" t="s">
        <v>71</v>
      </c>
      <c r="P4" s="5" t="n">
        <v>0</v>
      </c>
      <c r="Q4" s="5"/>
      <c r="R4" s="5" t="s">
        <v>1556</v>
      </c>
      <c r="S4" s="5" t="s">
        <v>1557</v>
      </c>
      <c r="T4" s="5"/>
      <c r="U4" s="5"/>
      <c r="V4" s="7" t="s">
        <v>1558</v>
      </c>
    </row>
    <row r="5" customFormat="false" ht="35.05" hidden="false" customHeight="false" outlineLevel="0" collapsed="false">
      <c r="A5" s="5" t="s">
        <v>1562</v>
      </c>
      <c r="B5" s="7" t="s">
        <v>801</v>
      </c>
      <c r="C5" s="5"/>
      <c r="D5" s="5"/>
      <c r="E5" s="5"/>
      <c r="F5" s="5"/>
      <c r="G5" s="5"/>
      <c r="H5" s="5"/>
      <c r="I5" s="5"/>
      <c r="J5" s="5"/>
      <c r="K5" s="5"/>
      <c r="L5" s="5"/>
      <c r="M5" s="5"/>
      <c r="N5" s="5" t="s">
        <v>207</v>
      </c>
      <c r="O5" s="5" t="s">
        <v>71</v>
      </c>
      <c r="P5" s="5" t="n">
        <v>0</v>
      </c>
      <c r="Q5" s="5"/>
      <c r="R5" s="5" t="s">
        <v>1556</v>
      </c>
      <c r="S5" s="5" t="s">
        <v>1557</v>
      </c>
      <c r="T5" s="5"/>
      <c r="U5" s="5"/>
      <c r="V5" s="7" t="s">
        <v>1558</v>
      </c>
    </row>
    <row r="6" customFormat="false" ht="46.25" hidden="false" customHeight="false" outlineLevel="0" collapsed="false">
      <c r="A6" s="5" t="s">
        <v>1563</v>
      </c>
      <c r="B6" s="7" t="s">
        <v>801</v>
      </c>
      <c r="C6" s="5"/>
      <c r="D6" s="5"/>
      <c r="E6" s="5"/>
      <c r="F6" s="5"/>
      <c r="G6" s="5"/>
      <c r="H6" s="5"/>
      <c r="I6" s="5"/>
      <c r="J6" s="5"/>
      <c r="K6" s="5"/>
      <c r="L6" s="5"/>
      <c r="M6" s="5"/>
      <c r="N6" s="5" t="s">
        <v>207</v>
      </c>
      <c r="O6" s="5" t="s">
        <v>71</v>
      </c>
      <c r="P6" s="5" t="n">
        <v>0</v>
      </c>
      <c r="Q6" s="5"/>
      <c r="R6" s="5" t="s">
        <v>1556</v>
      </c>
      <c r="S6" s="5" t="s">
        <v>1557</v>
      </c>
      <c r="T6" s="5"/>
      <c r="U6" s="5"/>
      <c r="V6" s="7" t="s">
        <v>1564</v>
      </c>
    </row>
    <row r="7" customFormat="false" ht="35.05" hidden="false" customHeight="false" outlineLevel="0" collapsed="false">
      <c r="A7" s="5" t="s">
        <v>1565</v>
      </c>
      <c r="B7" s="7" t="s">
        <v>799</v>
      </c>
      <c r="C7" s="5"/>
      <c r="D7" s="5"/>
      <c r="E7" s="5"/>
      <c r="F7" s="5"/>
      <c r="G7" s="5"/>
      <c r="H7" s="5"/>
      <c r="I7" s="5"/>
      <c r="J7" s="5"/>
      <c r="K7" s="5"/>
      <c r="L7" s="5"/>
      <c r="M7" s="5"/>
      <c r="N7" s="5" t="s">
        <v>207</v>
      </c>
      <c r="O7" s="5" t="s">
        <v>71</v>
      </c>
      <c r="P7" s="5" t="n">
        <v>0</v>
      </c>
      <c r="Q7" s="5"/>
      <c r="R7" s="5" t="s">
        <v>1556</v>
      </c>
      <c r="S7" s="5" t="s">
        <v>1557</v>
      </c>
      <c r="T7" s="5"/>
      <c r="U7" s="5"/>
      <c r="V7" s="7" t="s">
        <v>1558</v>
      </c>
    </row>
    <row r="8" customFormat="false" ht="23.85" hidden="false" customHeight="false" outlineLevel="0" collapsed="false">
      <c r="A8" s="5" t="s">
        <v>1566</v>
      </c>
      <c r="B8" s="5" t="s">
        <v>799</v>
      </c>
      <c r="C8" s="5" t="s">
        <v>1567</v>
      </c>
      <c r="D8" s="5" t="s">
        <v>1568</v>
      </c>
      <c r="E8" s="5" t="s">
        <v>1569</v>
      </c>
      <c r="F8" s="5" t="s">
        <v>1570</v>
      </c>
      <c r="G8" s="5"/>
      <c r="H8" s="5" t="s">
        <v>1571</v>
      </c>
      <c r="I8" s="5" t="s">
        <v>402</v>
      </c>
      <c r="J8" s="5" t="s">
        <v>1572</v>
      </c>
      <c r="K8" s="5" t="s">
        <v>1573</v>
      </c>
      <c r="L8" s="5" t="s">
        <v>1574</v>
      </c>
      <c r="M8" s="5"/>
      <c r="N8" s="5" t="s">
        <v>210</v>
      </c>
      <c r="O8" s="5" t="s">
        <v>71</v>
      </c>
      <c r="P8" s="5" t="n">
        <v>1</v>
      </c>
      <c r="Q8" s="5"/>
      <c r="R8" s="5" t="s">
        <v>1556</v>
      </c>
      <c r="S8" s="5" t="s">
        <v>1557</v>
      </c>
      <c r="T8" s="5"/>
      <c r="U8" s="5" t="s">
        <v>1575</v>
      </c>
      <c r="V8" s="7" t="s">
        <v>1576</v>
      </c>
    </row>
    <row r="9" customFormat="false" ht="23.85" hidden="false" customHeight="false" outlineLevel="0" collapsed="false">
      <c r="A9" s="5" t="s">
        <v>1577</v>
      </c>
      <c r="B9" s="5" t="s">
        <v>801</v>
      </c>
      <c r="C9" s="5" t="s">
        <v>1578</v>
      </c>
      <c r="D9" s="5" t="s">
        <v>1579</v>
      </c>
      <c r="E9" s="5"/>
      <c r="F9" s="5" t="s">
        <v>1570</v>
      </c>
      <c r="G9" s="5"/>
      <c r="H9" s="5" t="s">
        <v>1571</v>
      </c>
      <c r="I9" s="5" t="s">
        <v>402</v>
      </c>
      <c r="J9" s="5" t="s">
        <v>1572</v>
      </c>
      <c r="K9" s="5" t="s">
        <v>1573</v>
      </c>
      <c r="L9" s="5" t="s">
        <v>1574</v>
      </c>
      <c r="M9" s="5"/>
      <c r="N9" s="5" t="s">
        <v>210</v>
      </c>
      <c r="O9" s="5" t="s">
        <v>71</v>
      </c>
      <c r="P9" s="5" t="n">
        <v>3</v>
      </c>
      <c r="Q9" s="5"/>
      <c r="R9" s="5" t="s">
        <v>1556</v>
      </c>
      <c r="S9" s="5" t="s">
        <v>1557</v>
      </c>
      <c r="T9" s="5"/>
      <c r="U9" s="5" t="s">
        <v>1580</v>
      </c>
      <c r="V9" s="7" t="s">
        <v>1581</v>
      </c>
    </row>
    <row r="10" customFormat="false" ht="35.05" hidden="false" customHeight="false" outlineLevel="0" collapsed="false">
      <c r="A10" s="5" t="s">
        <v>1582</v>
      </c>
      <c r="B10" s="7" t="s">
        <v>801</v>
      </c>
      <c r="C10" s="5"/>
      <c r="D10" s="5"/>
      <c r="E10" s="5"/>
      <c r="F10" s="5"/>
      <c r="G10" s="5"/>
      <c r="H10" s="5"/>
      <c r="I10" s="5"/>
      <c r="J10" s="5"/>
      <c r="K10" s="5"/>
      <c r="L10" s="5"/>
      <c r="M10" s="5"/>
      <c r="N10" s="5" t="s">
        <v>207</v>
      </c>
      <c r="O10" s="5" t="s">
        <v>71</v>
      </c>
      <c r="P10" s="5" t="n">
        <v>0</v>
      </c>
      <c r="Q10" s="5"/>
      <c r="R10" s="5" t="s">
        <v>1556</v>
      </c>
      <c r="S10" s="5" t="s">
        <v>1557</v>
      </c>
      <c r="T10" s="5"/>
      <c r="U10" s="5"/>
      <c r="V10" s="7" t="s">
        <v>1558</v>
      </c>
    </row>
    <row r="11" customFormat="false" ht="35.05" hidden="false" customHeight="false" outlineLevel="0" collapsed="false">
      <c r="A11" s="5" t="s">
        <v>1583</v>
      </c>
      <c r="B11" s="7" t="s">
        <v>799</v>
      </c>
      <c r="C11" s="5"/>
      <c r="D11" s="5"/>
      <c r="E11" s="5"/>
      <c r="F11" s="5"/>
      <c r="G11" s="5"/>
      <c r="H11" s="5"/>
      <c r="I11" s="5"/>
      <c r="J11" s="5"/>
      <c r="K11" s="5"/>
      <c r="L11" s="5"/>
      <c r="M11" s="5"/>
      <c r="N11" s="5" t="s">
        <v>207</v>
      </c>
      <c r="O11" s="5" t="s">
        <v>71</v>
      </c>
      <c r="P11" s="5" t="n">
        <v>0</v>
      </c>
      <c r="Q11" s="5"/>
      <c r="R11" s="5" t="s">
        <v>1556</v>
      </c>
      <c r="S11" s="5" t="s">
        <v>1557</v>
      </c>
      <c r="T11" s="5"/>
      <c r="U11" s="5"/>
      <c r="V11" s="7" t="s">
        <v>1558</v>
      </c>
    </row>
    <row r="12" customFormat="false" ht="35.05" hidden="false" customHeight="false" outlineLevel="0" collapsed="false">
      <c r="A12" s="5" t="s">
        <v>1584</v>
      </c>
      <c r="B12" s="7" t="s">
        <v>801</v>
      </c>
      <c r="C12" s="5"/>
      <c r="D12" s="5"/>
      <c r="E12" s="5"/>
      <c r="F12" s="5"/>
      <c r="G12" s="5"/>
      <c r="H12" s="5"/>
      <c r="I12" s="5"/>
      <c r="J12" s="5"/>
      <c r="K12" s="5"/>
      <c r="L12" s="5"/>
      <c r="M12" s="5"/>
      <c r="N12" s="5" t="s">
        <v>207</v>
      </c>
      <c r="O12" s="5" t="s">
        <v>71</v>
      </c>
      <c r="P12" s="5" t="n">
        <v>0</v>
      </c>
      <c r="Q12" s="5"/>
      <c r="R12" s="5" t="s">
        <v>1556</v>
      </c>
      <c r="S12" s="5" t="s">
        <v>1557</v>
      </c>
      <c r="T12" s="5"/>
      <c r="U12" s="5"/>
      <c r="V12" s="7" t="s">
        <v>1558</v>
      </c>
    </row>
    <row r="13" customFormat="false" ht="46.25" hidden="false" customHeight="false" outlineLevel="0" collapsed="false">
      <c r="A13" s="5" t="s">
        <v>1585</v>
      </c>
      <c r="B13" s="7" t="s">
        <v>799</v>
      </c>
      <c r="C13" s="5"/>
      <c r="D13" s="5"/>
      <c r="E13" s="5"/>
      <c r="F13" s="5"/>
      <c r="G13" s="5"/>
      <c r="H13" s="5"/>
      <c r="I13" s="5"/>
      <c r="J13" s="5"/>
      <c r="K13" s="5"/>
      <c r="L13" s="5"/>
      <c r="M13" s="5"/>
      <c r="N13" s="5" t="s">
        <v>207</v>
      </c>
      <c r="O13" s="5" t="s">
        <v>71</v>
      </c>
      <c r="P13" s="5" t="n">
        <v>0</v>
      </c>
      <c r="Q13" s="5"/>
      <c r="R13" s="5" t="s">
        <v>1556</v>
      </c>
      <c r="S13" s="5" t="s">
        <v>1557</v>
      </c>
      <c r="T13" s="5"/>
      <c r="U13" s="5"/>
      <c r="V13" s="7" t="s">
        <v>1586</v>
      </c>
    </row>
    <row r="14" customFormat="false" ht="35.05" hidden="false" customHeight="false" outlineLevel="0" collapsed="false">
      <c r="A14" s="5" t="s">
        <v>1587</v>
      </c>
      <c r="B14" s="7" t="s">
        <v>801</v>
      </c>
      <c r="C14" s="5"/>
      <c r="D14" s="5"/>
      <c r="E14" s="5"/>
      <c r="F14" s="5"/>
      <c r="G14" s="5"/>
      <c r="H14" s="5"/>
      <c r="I14" s="5"/>
      <c r="J14" s="5"/>
      <c r="K14" s="5"/>
      <c r="L14" s="5"/>
      <c r="M14" s="5"/>
      <c r="N14" s="5" t="s">
        <v>207</v>
      </c>
      <c r="O14" s="5" t="s">
        <v>71</v>
      </c>
      <c r="P14" s="5" t="n">
        <v>0</v>
      </c>
      <c r="Q14" s="5"/>
      <c r="R14" s="5" t="s">
        <v>1556</v>
      </c>
      <c r="S14" s="5" t="s">
        <v>1557</v>
      </c>
      <c r="T14" s="5"/>
      <c r="U14" s="5"/>
      <c r="V14" s="7" t="s">
        <v>1558</v>
      </c>
    </row>
    <row r="15" customFormat="false" ht="35.05" hidden="false" customHeight="false" outlineLevel="0" collapsed="false">
      <c r="A15" s="5" t="s">
        <v>1588</v>
      </c>
      <c r="B15" s="7" t="s">
        <v>799</v>
      </c>
      <c r="C15" s="5"/>
      <c r="D15" s="5"/>
      <c r="E15" s="5"/>
      <c r="F15" s="5"/>
      <c r="G15" s="5"/>
      <c r="H15" s="5"/>
      <c r="I15" s="5"/>
      <c r="J15" s="5"/>
      <c r="K15" s="5"/>
      <c r="L15" s="5"/>
      <c r="M15" s="5"/>
      <c r="N15" s="5" t="s">
        <v>207</v>
      </c>
      <c r="O15" s="5" t="s">
        <v>71</v>
      </c>
      <c r="P15" s="5" t="n">
        <v>0</v>
      </c>
      <c r="Q15" s="5"/>
      <c r="R15" s="5" t="s">
        <v>1556</v>
      </c>
      <c r="S15" s="5" t="s">
        <v>1557</v>
      </c>
      <c r="T15" s="5"/>
      <c r="U15" s="5"/>
      <c r="V15" s="7" t="s">
        <v>1558</v>
      </c>
    </row>
    <row r="16" customFormat="false" ht="46.25" hidden="false" customHeight="false" outlineLevel="0" collapsed="false">
      <c r="A16" s="5" t="s">
        <v>1589</v>
      </c>
      <c r="B16" s="7" t="s">
        <v>801</v>
      </c>
      <c r="C16" s="5"/>
      <c r="D16" s="5"/>
      <c r="E16" s="5"/>
      <c r="F16" s="5"/>
      <c r="G16" s="5"/>
      <c r="H16" s="5"/>
      <c r="I16" s="5"/>
      <c r="J16" s="5"/>
      <c r="K16" s="5"/>
      <c r="L16" s="5"/>
      <c r="M16" s="5"/>
      <c r="N16" s="5" t="s">
        <v>207</v>
      </c>
      <c r="O16" s="5" t="s">
        <v>71</v>
      </c>
      <c r="P16" s="5" t="n">
        <v>0</v>
      </c>
      <c r="Q16" s="5"/>
      <c r="R16" s="5" t="s">
        <v>1556</v>
      </c>
      <c r="S16" s="5" t="s">
        <v>1557</v>
      </c>
      <c r="T16" s="5"/>
      <c r="U16" s="5"/>
      <c r="V16" s="7" t="s">
        <v>1590</v>
      </c>
    </row>
    <row r="17" customFormat="false" ht="35.05" hidden="false" customHeight="false" outlineLevel="0" collapsed="false">
      <c r="A17" s="5" t="s">
        <v>1591</v>
      </c>
      <c r="B17" s="7" t="s">
        <v>799</v>
      </c>
      <c r="C17" s="5"/>
      <c r="D17" s="5"/>
      <c r="E17" s="5"/>
      <c r="F17" s="5"/>
      <c r="G17" s="5"/>
      <c r="H17" s="5"/>
      <c r="I17" s="5"/>
      <c r="J17" s="5"/>
      <c r="K17" s="5"/>
      <c r="L17" s="5"/>
      <c r="M17" s="5"/>
      <c r="N17" s="5" t="s">
        <v>207</v>
      </c>
      <c r="O17" s="5" t="s">
        <v>71</v>
      </c>
      <c r="P17" s="5" t="n">
        <v>0</v>
      </c>
      <c r="Q17" s="5"/>
      <c r="R17" s="5" t="s">
        <v>1556</v>
      </c>
      <c r="S17" s="5" t="s">
        <v>1557</v>
      </c>
      <c r="T17" s="5"/>
      <c r="U17" s="5"/>
      <c r="V17" s="7" t="s">
        <v>1558</v>
      </c>
    </row>
    <row r="18" customFormat="false" ht="46.25" hidden="false" customHeight="false" outlineLevel="0" collapsed="false">
      <c r="A18" s="5" t="s">
        <v>1592</v>
      </c>
      <c r="B18" s="7" t="s">
        <v>799</v>
      </c>
      <c r="C18" s="5"/>
      <c r="D18" s="5"/>
      <c r="E18" s="5"/>
      <c r="F18" s="5"/>
      <c r="G18" s="5"/>
      <c r="H18" s="5"/>
      <c r="I18" s="5"/>
      <c r="J18" s="5"/>
      <c r="K18" s="5"/>
      <c r="L18" s="5"/>
      <c r="M18" s="5"/>
      <c r="N18" s="5" t="s">
        <v>207</v>
      </c>
      <c r="O18" s="5" t="s">
        <v>71</v>
      </c>
      <c r="P18" s="5" t="n">
        <v>0</v>
      </c>
      <c r="Q18" s="5"/>
      <c r="R18" s="5" t="s">
        <v>1556</v>
      </c>
      <c r="S18" s="5" t="s">
        <v>1557</v>
      </c>
      <c r="T18" s="5"/>
      <c r="U18" s="5"/>
      <c r="V18" s="7" t="s">
        <v>1593</v>
      </c>
    </row>
    <row r="19" customFormat="false" ht="35.05" hidden="false" customHeight="false" outlineLevel="0" collapsed="false">
      <c r="A19" s="5" t="s">
        <v>1594</v>
      </c>
      <c r="B19" s="7" t="s">
        <v>801</v>
      </c>
      <c r="C19" s="5"/>
      <c r="D19" s="5"/>
      <c r="E19" s="5"/>
      <c r="F19" s="5"/>
      <c r="G19" s="5"/>
      <c r="H19" s="5"/>
      <c r="I19" s="5"/>
      <c r="J19" s="5"/>
      <c r="K19" s="5"/>
      <c r="L19" s="5"/>
      <c r="M19" s="5"/>
      <c r="N19" s="5" t="s">
        <v>207</v>
      </c>
      <c r="O19" s="5" t="s">
        <v>71</v>
      </c>
      <c r="P19" s="5" t="n">
        <v>0</v>
      </c>
      <c r="Q19" s="5"/>
      <c r="R19" s="5" t="s">
        <v>1556</v>
      </c>
      <c r="S19" s="5" t="s">
        <v>1557</v>
      </c>
      <c r="T19" s="5"/>
      <c r="U19" s="5"/>
      <c r="V19" s="7" t="s">
        <v>1558</v>
      </c>
    </row>
    <row r="20" customFormat="false" ht="35.05" hidden="false" customHeight="false" outlineLevel="0" collapsed="false">
      <c r="A20" s="5" t="s">
        <v>1595</v>
      </c>
      <c r="B20" s="7" t="s">
        <v>799</v>
      </c>
      <c r="C20" s="5"/>
      <c r="D20" s="5"/>
      <c r="E20" s="5"/>
      <c r="F20" s="5"/>
      <c r="G20" s="5"/>
      <c r="H20" s="5"/>
      <c r="I20" s="5"/>
      <c r="J20" s="5"/>
      <c r="K20" s="5"/>
      <c r="L20" s="5"/>
      <c r="M20" s="5"/>
      <c r="N20" s="5" t="s">
        <v>207</v>
      </c>
      <c r="O20" s="5" t="s">
        <v>71</v>
      </c>
      <c r="P20" s="5" t="n">
        <v>0</v>
      </c>
      <c r="Q20" s="5"/>
      <c r="R20" s="5" t="s">
        <v>1556</v>
      </c>
      <c r="S20" s="5" t="s">
        <v>1557</v>
      </c>
      <c r="T20" s="5"/>
      <c r="U20" s="5"/>
      <c r="V20" s="7" t="s">
        <v>1558</v>
      </c>
    </row>
    <row r="21" customFormat="false" ht="35.05" hidden="false" customHeight="false" outlineLevel="0" collapsed="false">
      <c r="A21" s="5" t="s">
        <v>1596</v>
      </c>
      <c r="B21" s="7" t="s">
        <v>801</v>
      </c>
      <c r="C21" s="5"/>
      <c r="D21" s="5"/>
      <c r="E21" s="5"/>
      <c r="F21" s="5"/>
      <c r="G21" s="5"/>
      <c r="H21" s="5"/>
      <c r="I21" s="5"/>
      <c r="J21" s="5"/>
      <c r="K21" s="5"/>
      <c r="L21" s="5"/>
      <c r="M21" s="5"/>
      <c r="N21" s="5" t="s">
        <v>207</v>
      </c>
      <c r="O21" s="5" t="s">
        <v>71</v>
      </c>
      <c r="P21" s="5" t="n">
        <v>0</v>
      </c>
      <c r="Q21" s="5"/>
      <c r="R21" s="5" t="s">
        <v>1556</v>
      </c>
      <c r="S21" s="5" t="s">
        <v>1557</v>
      </c>
      <c r="T21" s="5"/>
      <c r="U21" s="5"/>
      <c r="V21" s="7" t="s">
        <v>1558</v>
      </c>
    </row>
    <row r="22" customFormat="false" ht="35.05" hidden="false" customHeight="false" outlineLevel="0" collapsed="false">
      <c r="A22" s="5" t="s">
        <v>1597</v>
      </c>
      <c r="B22" s="7" t="s">
        <v>799</v>
      </c>
      <c r="C22" s="5"/>
      <c r="D22" s="5"/>
      <c r="E22" s="5"/>
      <c r="F22" s="5"/>
      <c r="G22" s="5"/>
      <c r="H22" s="5"/>
      <c r="I22" s="5"/>
      <c r="J22" s="5"/>
      <c r="K22" s="5"/>
      <c r="L22" s="5"/>
      <c r="M22" s="5"/>
      <c r="N22" s="5" t="s">
        <v>207</v>
      </c>
      <c r="O22" s="5" t="s">
        <v>71</v>
      </c>
      <c r="P22" s="5" t="n">
        <v>0</v>
      </c>
      <c r="Q22" s="5"/>
      <c r="R22" s="5" t="s">
        <v>1556</v>
      </c>
      <c r="S22" s="5" t="s">
        <v>1557</v>
      </c>
      <c r="T22" s="5"/>
      <c r="U22" s="5"/>
      <c r="V22" s="7" t="s">
        <v>1558</v>
      </c>
    </row>
    <row r="23" customFormat="false" ht="35.05" hidden="false" customHeight="false" outlineLevel="0" collapsed="false">
      <c r="A23" s="5" t="s">
        <v>1598</v>
      </c>
      <c r="B23" s="7" t="s">
        <v>801</v>
      </c>
      <c r="C23" s="5"/>
      <c r="D23" s="5"/>
      <c r="E23" s="5"/>
      <c r="F23" s="5"/>
      <c r="G23" s="5"/>
      <c r="H23" s="5"/>
      <c r="I23" s="5"/>
      <c r="J23" s="5"/>
      <c r="K23" s="5"/>
      <c r="L23" s="5"/>
      <c r="M23" s="5"/>
      <c r="N23" s="5" t="s">
        <v>207</v>
      </c>
      <c r="O23" s="5" t="s">
        <v>71</v>
      </c>
      <c r="P23" s="5" t="n">
        <v>0</v>
      </c>
      <c r="Q23" s="5"/>
      <c r="R23" s="5" t="s">
        <v>1556</v>
      </c>
      <c r="S23" s="5" t="s">
        <v>1557</v>
      </c>
      <c r="T23" s="5"/>
      <c r="U23" s="5"/>
      <c r="V23" s="7" t="s">
        <v>1558</v>
      </c>
    </row>
    <row r="24" customFormat="false" ht="35.05" hidden="false" customHeight="false" outlineLevel="0" collapsed="false">
      <c r="A24" s="5" t="s">
        <v>1599</v>
      </c>
      <c r="B24" s="7" t="s">
        <v>799</v>
      </c>
      <c r="C24" s="5"/>
      <c r="D24" s="5"/>
      <c r="E24" s="5"/>
      <c r="F24" s="5"/>
      <c r="G24" s="5"/>
      <c r="H24" s="5"/>
      <c r="I24" s="5"/>
      <c r="J24" s="5"/>
      <c r="K24" s="5"/>
      <c r="L24" s="5"/>
      <c r="M24" s="5"/>
      <c r="N24" s="5" t="s">
        <v>207</v>
      </c>
      <c r="O24" s="5" t="s">
        <v>71</v>
      </c>
      <c r="P24" s="5" t="n">
        <v>0</v>
      </c>
      <c r="Q24" s="5"/>
      <c r="R24" s="5" t="s">
        <v>1556</v>
      </c>
      <c r="S24" s="5" t="s">
        <v>1557</v>
      </c>
      <c r="T24" s="5"/>
      <c r="U24" s="5"/>
      <c r="V24" s="7" t="s">
        <v>1558</v>
      </c>
    </row>
    <row r="25" customFormat="false" ht="35.05" hidden="false" customHeight="false" outlineLevel="0" collapsed="false">
      <c r="A25" s="5" t="s">
        <v>1600</v>
      </c>
      <c r="B25" s="7" t="s">
        <v>801</v>
      </c>
      <c r="C25" s="5"/>
      <c r="D25" s="5"/>
      <c r="E25" s="5"/>
      <c r="F25" s="5"/>
      <c r="G25" s="5"/>
      <c r="H25" s="5"/>
      <c r="I25" s="5"/>
      <c r="J25" s="5"/>
      <c r="K25" s="5"/>
      <c r="L25" s="5"/>
      <c r="M25" s="5"/>
      <c r="N25" s="5" t="s">
        <v>207</v>
      </c>
      <c r="O25" s="5" t="s">
        <v>71</v>
      </c>
      <c r="P25" s="5" t="n">
        <v>0</v>
      </c>
      <c r="Q25" s="5"/>
      <c r="R25" s="5" t="s">
        <v>1556</v>
      </c>
      <c r="S25" s="5" t="s">
        <v>1557</v>
      </c>
      <c r="T25" s="5"/>
      <c r="U25" s="5"/>
      <c r="V25" s="7" t="s">
        <v>1558</v>
      </c>
    </row>
    <row r="27" customFormat="false" ht="147" hidden="false" customHeight="false" outlineLevel="0" collapsed="false">
      <c r="A27" s="2" t="s">
        <v>1509</v>
      </c>
      <c r="B27" s="3" t="s">
        <v>1601</v>
      </c>
    </row>
  </sheetData>
  <autoFilter ref="A1:V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8"/>
    <col collapsed="false" customWidth="true" hidden="false" outlineLevel="0" max="3" min="3" style="0" width="11"/>
    <col collapsed="false" customWidth="true" hidden="false" outlineLevel="0" max="6" min="4" style="0" width="12"/>
    <col collapsed="false" customWidth="true" hidden="false" outlineLevel="0" max="7" min="7" style="0" width="24"/>
    <col collapsed="false" customWidth="true" hidden="false" outlineLevel="0" max="8" min="8" style="0" width="20"/>
    <col collapsed="false" customWidth="true" hidden="false" outlineLevel="0" max="9" min="9" style="0" width="14"/>
  </cols>
  <sheetData>
    <row r="1" customFormat="false" ht="30" hidden="false" customHeight="true" outlineLevel="0" collapsed="false">
      <c r="A1" s="4" t="s">
        <v>1602</v>
      </c>
      <c r="B1" s="4" t="s">
        <v>1603</v>
      </c>
      <c r="C1" s="4" t="s">
        <v>1604</v>
      </c>
      <c r="D1" s="4" t="s">
        <v>1605</v>
      </c>
      <c r="E1" s="4" t="s">
        <v>1606</v>
      </c>
      <c r="F1" s="4" t="s">
        <v>1607</v>
      </c>
      <c r="G1" s="4" t="s">
        <v>1608</v>
      </c>
      <c r="H1" s="4" t="s">
        <v>736</v>
      </c>
      <c r="I1" s="4" t="s">
        <v>1609</v>
      </c>
    </row>
    <row r="2" customFormat="false" ht="15" hidden="false" customHeight="false" outlineLevel="0" collapsed="false">
      <c r="A2" s="5" t="s">
        <v>1032</v>
      </c>
      <c r="B2" s="5"/>
      <c r="C2" s="5" t="n">
        <f aca="false">COUNTIF('Observed lines'!$F$2:$F$36,A2)</f>
        <v>0</v>
      </c>
      <c r="D2" s="5" t="n">
        <f aca="false">COUNTIFS('Observed lines'!$F$2:$F$36,A2,'Observed lines'!$G$2:$G$36,"&lt;&gt;")</f>
        <v>0</v>
      </c>
      <c r="E2" s="8" t="str">
        <f aca="false">IF(D2=0,"",_xlfn.MINIFS('Observed lines'!$G$2:$G$36,'Observed lines'!$F$2:$F$36,A2))</f>
        <v/>
      </c>
      <c r="F2" s="8" t="str">
        <f aca="false">IF(D2=0,"",_xlfn.MAXIFS('Observed lines'!$G$2:$G$36,'Observed lines'!$F$2:$F$36,A2))</f>
        <v/>
      </c>
      <c r="G2" s="5" t="str">
        <f aca="false">IF(D2=0,"none seen",IF(E2=F2,TEXT(E2,"$#,##0.00"),TEXT(E2,"$#,##0.00")&amp;" – "&amp;TEXT(F2,"$#,##0.00")))</f>
        <v>none seen</v>
      </c>
      <c r="H2" s="5" t="s">
        <v>1610</v>
      </c>
      <c r="I2" s="5" t="s">
        <v>776</v>
      </c>
    </row>
    <row r="3" customFormat="false" ht="15" hidden="false" customHeight="false" outlineLevel="0" collapsed="false">
      <c r="A3" s="5" t="s">
        <v>1034</v>
      </c>
      <c r="B3" s="5" t="s">
        <v>1035</v>
      </c>
      <c r="C3" s="5" t="n">
        <f aca="false">COUNTIF('Observed lines'!$F$2:$F$36,A3)</f>
        <v>3</v>
      </c>
      <c r="D3" s="5" t="n">
        <f aca="false">COUNTIFS('Observed lines'!$F$2:$F$36,A3,'Observed lines'!$G$2:$G$36,"&lt;&gt;")</f>
        <v>2</v>
      </c>
      <c r="E3" s="8" t="n">
        <f aca="false">IF(D3=0,"",_xlfn.MINIFS('Observed lines'!$G$2:$G$36,'Observed lines'!$F$2:$F$36,A3))</f>
        <v>250.3</v>
      </c>
      <c r="F3" s="8" t="n">
        <f aca="false">IF(D3=0,"",_xlfn.MAXIFS('Observed lines'!$G$2:$G$36,'Observed lines'!$F$2:$F$36,A3))</f>
        <v>1052.46</v>
      </c>
      <c r="G3" s="5" t="str">
        <f aca="false">IF(D3=0,"none seen",IF(E3=F3,TEXT(E3,"$#,##0.00"),TEXT(E3,"$#,##0.00")&amp;" – "&amp;TEXT(F3,"$#,##0.00")))</f>
        <v>$250.30 – $1,052.46</v>
      </c>
      <c r="H3" s="5" t="s">
        <v>1611</v>
      </c>
      <c r="I3" s="5" t="s">
        <v>776</v>
      </c>
    </row>
    <row r="4" customFormat="false" ht="15" hidden="false" customHeight="false" outlineLevel="0" collapsed="false">
      <c r="A4" s="5" t="s">
        <v>1037</v>
      </c>
      <c r="B4" s="5"/>
      <c r="C4" s="5" t="n">
        <f aca="false">COUNTIF('Observed lines'!$F$2:$F$36,A4)</f>
        <v>0</v>
      </c>
      <c r="D4" s="5" t="n">
        <f aca="false">COUNTIFS('Observed lines'!$F$2:$F$36,A4,'Observed lines'!$G$2:$G$36,"&lt;&gt;")</f>
        <v>0</v>
      </c>
      <c r="E4" s="8" t="str">
        <f aca="false">IF(D4=0,"",_xlfn.MINIFS('Observed lines'!$G$2:$G$36,'Observed lines'!$F$2:$F$36,A4))</f>
        <v/>
      </c>
      <c r="F4" s="8" t="str">
        <f aca="false">IF(D4=0,"",_xlfn.MAXIFS('Observed lines'!$G$2:$G$36,'Observed lines'!$F$2:$F$36,A4))</f>
        <v/>
      </c>
      <c r="G4" s="5" t="str">
        <f aca="false">IF(D4=0,"none seen",IF(E4=F4,TEXT(E4,"$#,##0.00"),TEXT(E4,"$#,##0.00")&amp;" – "&amp;TEXT(F4,"$#,##0.00")))</f>
        <v>none seen</v>
      </c>
      <c r="H4" s="5" t="s">
        <v>1610</v>
      </c>
      <c r="I4" s="5" t="s">
        <v>776</v>
      </c>
    </row>
    <row r="5" customFormat="false" ht="15" hidden="false" customHeight="false" outlineLevel="0" collapsed="false">
      <c r="A5" s="5" t="s">
        <v>1038</v>
      </c>
      <c r="B5" s="5" t="s">
        <v>1039</v>
      </c>
      <c r="C5" s="5" t="n">
        <f aca="false">COUNTIF('Observed lines'!$F$2:$F$36,A5)</f>
        <v>1</v>
      </c>
      <c r="D5" s="5" t="n">
        <f aca="false">COUNTIFS('Observed lines'!$F$2:$F$36,A5,'Observed lines'!$G$2:$G$36,"&lt;&gt;")</f>
        <v>1</v>
      </c>
      <c r="E5" s="8" t="n">
        <f aca="false">IF(D5=0,"",_xlfn.MINIFS('Observed lines'!$G$2:$G$36,'Observed lines'!$F$2:$F$36,A5))</f>
        <v>348.35</v>
      </c>
      <c r="F5" s="8" t="n">
        <f aca="false">IF(D5=0,"",_xlfn.MAXIFS('Observed lines'!$G$2:$G$36,'Observed lines'!$F$2:$F$36,A5))</f>
        <v>348.35</v>
      </c>
      <c r="G5" s="5" t="str">
        <f aca="false">IF(D5=0,"none seen",IF(E5=F5,TEXT(E5,"$#,##0.00"),TEXT(E5,"$#,##0.00")&amp;" – "&amp;TEXT(F5,"$#,##0.00")))</f>
        <v>$348.35</v>
      </c>
      <c r="H5" s="5" t="s">
        <v>1611</v>
      </c>
      <c r="I5" s="5" t="s">
        <v>776</v>
      </c>
    </row>
    <row r="6" customFormat="false" ht="15" hidden="false" customHeight="false" outlineLevel="0" collapsed="false">
      <c r="A6" s="5" t="s">
        <v>1041</v>
      </c>
      <c r="B6" s="5"/>
      <c r="C6" s="5" t="n">
        <f aca="false">COUNTIF('Observed lines'!$F$2:$F$36,A6)</f>
        <v>0</v>
      </c>
      <c r="D6" s="5" t="n">
        <f aca="false">COUNTIFS('Observed lines'!$F$2:$F$36,A6,'Observed lines'!$G$2:$G$36,"&lt;&gt;")</f>
        <v>0</v>
      </c>
      <c r="E6" s="8" t="str">
        <f aca="false">IF(D6=0,"",_xlfn.MINIFS('Observed lines'!$G$2:$G$36,'Observed lines'!$F$2:$F$36,A6))</f>
        <v/>
      </c>
      <c r="F6" s="8" t="str">
        <f aca="false">IF(D6=0,"",_xlfn.MAXIFS('Observed lines'!$G$2:$G$36,'Observed lines'!$F$2:$F$36,A6))</f>
        <v/>
      </c>
      <c r="G6" s="5" t="str">
        <f aca="false">IF(D6=0,"none seen",IF(E6=F6,TEXT(E6,"$#,##0.00"),TEXT(E6,"$#,##0.00")&amp;" – "&amp;TEXT(F6,"$#,##0.00")))</f>
        <v>none seen</v>
      </c>
      <c r="H6" s="5" t="s">
        <v>1610</v>
      </c>
      <c r="I6" s="5" t="s">
        <v>776</v>
      </c>
    </row>
    <row r="7" customFormat="false" ht="15" hidden="false" customHeight="false" outlineLevel="0" collapsed="false">
      <c r="A7" s="5" t="s">
        <v>1042</v>
      </c>
      <c r="B7" s="5"/>
      <c r="C7" s="5" t="n">
        <f aca="false">COUNTIF('Observed lines'!$F$2:$F$36,A7)</f>
        <v>0</v>
      </c>
      <c r="D7" s="5" t="n">
        <f aca="false">COUNTIFS('Observed lines'!$F$2:$F$36,A7,'Observed lines'!$G$2:$G$36,"&lt;&gt;")</f>
        <v>0</v>
      </c>
      <c r="E7" s="8" t="str">
        <f aca="false">IF(D7=0,"",_xlfn.MINIFS('Observed lines'!$G$2:$G$36,'Observed lines'!$F$2:$F$36,A7))</f>
        <v/>
      </c>
      <c r="F7" s="8" t="str">
        <f aca="false">IF(D7=0,"",_xlfn.MAXIFS('Observed lines'!$G$2:$G$36,'Observed lines'!$F$2:$F$36,A7))</f>
        <v/>
      </c>
      <c r="G7" s="5" t="str">
        <f aca="false">IF(D7=0,"none seen",IF(E7=F7,TEXT(E7,"$#,##0.00"),TEXT(E7,"$#,##0.00")&amp;" – "&amp;TEXT(F7,"$#,##0.00")))</f>
        <v>none seen</v>
      </c>
      <c r="H7" s="5" t="s">
        <v>1610</v>
      </c>
      <c r="I7" s="5" t="s">
        <v>776</v>
      </c>
    </row>
    <row r="8" customFormat="false" ht="15" hidden="false" customHeight="false" outlineLevel="0" collapsed="false">
      <c r="A8" s="5" t="s">
        <v>1043</v>
      </c>
      <c r="B8" s="5"/>
      <c r="C8" s="5" t="n">
        <f aca="false">COUNTIF('Observed lines'!$F$2:$F$36,A8)</f>
        <v>0</v>
      </c>
      <c r="D8" s="5" t="n">
        <f aca="false">COUNTIFS('Observed lines'!$F$2:$F$36,A8,'Observed lines'!$G$2:$G$36,"&lt;&gt;")</f>
        <v>0</v>
      </c>
      <c r="E8" s="8" t="str">
        <f aca="false">IF(D8=0,"",_xlfn.MINIFS('Observed lines'!$G$2:$G$36,'Observed lines'!$F$2:$F$36,A8))</f>
        <v/>
      </c>
      <c r="F8" s="8" t="str">
        <f aca="false">IF(D8=0,"",_xlfn.MAXIFS('Observed lines'!$G$2:$G$36,'Observed lines'!$F$2:$F$36,A8))</f>
        <v/>
      </c>
      <c r="G8" s="5" t="str">
        <f aca="false">IF(D8=0,"none seen",IF(E8=F8,TEXT(E8,"$#,##0.00"),TEXT(E8,"$#,##0.00")&amp;" – "&amp;TEXT(F8,"$#,##0.00")))</f>
        <v>none seen</v>
      </c>
      <c r="H8" s="5" t="s">
        <v>1610</v>
      </c>
      <c r="I8" s="5" t="s">
        <v>776</v>
      </c>
    </row>
    <row r="9" customFormat="false" ht="15" hidden="false" customHeight="false" outlineLevel="0" collapsed="false">
      <c r="A9" s="5" t="s">
        <v>1044</v>
      </c>
      <c r="B9" s="5"/>
      <c r="C9" s="5" t="n">
        <f aca="false">COUNTIF('Observed lines'!$F$2:$F$36,A9)</f>
        <v>0</v>
      </c>
      <c r="D9" s="5" t="n">
        <f aca="false">COUNTIFS('Observed lines'!$F$2:$F$36,A9,'Observed lines'!$G$2:$G$36,"&lt;&gt;")</f>
        <v>0</v>
      </c>
      <c r="E9" s="8" t="str">
        <f aca="false">IF(D9=0,"",_xlfn.MINIFS('Observed lines'!$G$2:$G$36,'Observed lines'!$F$2:$F$36,A9))</f>
        <v/>
      </c>
      <c r="F9" s="8" t="str">
        <f aca="false">IF(D9=0,"",_xlfn.MAXIFS('Observed lines'!$G$2:$G$36,'Observed lines'!$F$2:$F$36,A9))</f>
        <v/>
      </c>
      <c r="G9" s="5" t="str">
        <f aca="false">IF(D9=0,"none seen",IF(E9=F9,TEXT(E9,"$#,##0.00"),TEXT(E9,"$#,##0.00")&amp;" – "&amp;TEXT(F9,"$#,##0.00")))</f>
        <v>none seen</v>
      </c>
      <c r="H9" s="5" t="s">
        <v>1610</v>
      </c>
      <c r="I9" s="5" t="s">
        <v>776</v>
      </c>
    </row>
    <row r="10" customFormat="false" ht="15" hidden="false" customHeight="false" outlineLevel="0" collapsed="false">
      <c r="A10" s="5" t="s">
        <v>1045</v>
      </c>
      <c r="B10" s="5" t="s">
        <v>1035</v>
      </c>
      <c r="C10" s="5" t="n">
        <f aca="false">COUNTIF('Observed lines'!$F$2:$F$36,A10)</f>
        <v>1</v>
      </c>
      <c r="D10" s="5" t="n">
        <f aca="false">COUNTIFS('Observed lines'!$F$2:$F$36,A10,'Observed lines'!$G$2:$G$36,"&lt;&gt;")</f>
        <v>1</v>
      </c>
      <c r="E10" s="8" t="n">
        <f aca="false">IF(D10=0,"",_xlfn.MINIFS('Observed lines'!$G$2:$G$36,'Observed lines'!$F$2:$F$36,A10))</f>
        <v>905.44</v>
      </c>
      <c r="F10" s="8" t="n">
        <f aca="false">IF(D10=0,"",_xlfn.MAXIFS('Observed lines'!$G$2:$G$36,'Observed lines'!$F$2:$F$36,A10))</f>
        <v>905.44</v>
      </c>
      <c r="G10" s="5" t="str">
        <f aca="false">IF(D10=0,"none seen",IF(E10=F10,TEXT(E10,"$#,##0.00"),TEXT(E10,"$#,##0.00")&amp;" – "&amp;TEXT(F10,"$#,##0.00")))</f>
        <v>$905.44</v>
      </c>
      <c r="H10" s="5" t="s">
        <v>1611</v>
      </c>
      <c r="I10" s="5" t="s">
        <v>776</v>
      </c>
    </row>
    <row r="11" customFormat="false" ht="15" hidden="false" customHeight="false" outlineLevel="0" collapsed="false">
      <c r="A11" s="5" t="s">
        <v>1046</v>
      </c>
      <c r="B11" s="5"/>
      <c r="C11" s="5" t="n">
        <f aca="false">COUNTIF('Observed lines'!$F$2:$F$36,A11)</f>
        <v>0</v>
      </c>
      <c r="D11" s="5" t="n">
        <f aca="false">COUNTIFS('Observed lines'!$F$2:$F$36,A11,'Observed lines'!$G$2:$G$36,"&lt;&gt;")</f>
        <v>0</v>
      </c>
      <c r="E11" s="8" t="str">
        <f aca="false">IF(D11=0,"",_xlfn.MINIFS('Observed lines'!$G$2:$G$36,'Observed lines'!$F$2:$F$36,A11))</f>
        <v/>
      </c>
      <c r="F11" s="8" t="str">
        <f aca="false">IF(D11=0,"",_xlfn.MAXIFS('Observed lines'!$G$2:$G$36,'Observed lines'!$F$2:$F$36,A11))</f>
        <v/>
      </c>
      <c r="G11" s="5" t="str">
        <f aca="false">IF(D11=0,"none seen",IF(E11=F11,TEXT(E11,"$#,##0.00"),TEXT(E11,"$#,##0.00")&amp;" – "&amp;TEXT(F11,"$#,##0.00")))</f>
        <v>none seen</v>
      </c>
      <c r="H11" s="5" t="s">
        <v>1610</v>
      </c>
      <c r="I11" s="5" t="s">
        <v>776</v>
      </c>
    </row>
    <row r="12" customFormat="false" ht="15" hidden="false" customHeight="false" outlineLevel="0" collapsed="false">
      <c r="A12" s="5" t="s">
        <v>1047</v>
      </c>
      <c r="B12" s="5"/>
      <c r="C12" s="5" t="n">
        <f aca="false">COUNTIF('Observed lines'!$F$2:$F$36,A12)</f>
        <v>0</v>
      </c>
      <c r="D12" s="5" t="n">
        <f aca="false">COUNTIFS('Observed lines'!$F$2:$F$36,A12,'Observed lines'!$G$2:$G$36,"&lt;&gt;")</f>
        <v>0</v>
      </c>
      <c r="E12" s="8" t="str">
        <f aca="false">IF(D12=0,"",_xlfn.MINIFS('Observed lines'!$G$2:$G$36,'Observed lines'!$F$2:$F$36,A12))</f>
        <v/>
      </c>
      <c r="F12" s="8" t="str">
        <f aca="false">IF(D12=0,"",_xlfn.MAXIFS('Observed lines'!$G$2:$G$36,'Observed lines'!$F$2:$F$36,A12))</f>
        <v/>
      </c>
      <c r="G12" s="5" t="str">
        <f aca="false">IF(D12=0,"none seen",IF(E12=F12,TEXT(E12,"$#,##0.00"),TEXT(E12,"$#,##0.00")&amp;" – "&amp;TEXT(F12,"$#,##0.00")))</f>
        <v>none seen</v>
      </c>
      <c r="H12" s="5" t="s">
        <v>1610</v>
      </c>
      <c r="I12" s="5" t="s">
        <v>776</v>
      </c>
    </row>
    <row r="13" customFormat="false" ht="15" hidden="false" customHeight="false" outlineLevel="0" collapsed="false">
      <c r="A13" s="5" t="s">
        <v>1048</v>
      </c>
      <c r="B13" s="5"/>
      <c r="C13" s="5" t="n">
        <f aca="false">COUNTIF('Observed lines'!$F$2:$F$36,A13)</f>
        <v>0</v>
      </c>
      <c r="D13" s="5" t="n">
        <f aca="false">COUNTIFS('Observed lines'!$F$2:$F$36,A13,'Observed lines'!$G$2:$G$36,"&lt;&gt;")</f>
        <v>0</v>
      </c>
      <c r="E13" s="8" t="str">
        <f aca="false">IF(D13=0,"",_xlfn.MINIFS('Observed lines'!$G$2:$G$36,'Observed lines'!$F$2:$F$36,A13))</f>
        <v/>
      </c>
      <c r="F13" s="8" t="str">
        <f aca="false">IF(D13=0,"",_xlfn.MAXIFS('Observed lines'!$G$2:$G$36,'Observed lines'!$F$2:$F$36,A13))</f>
        <v/>
      </c>
      <c r="G13" s="5" t="str">
        <f aca="false">IF(D13=0,"none seen",IF(E13=F13,TEXT(E13,"$#,##0.00"),TEXT(E13,"$#,##0.00")&amp;" – "&amp;TEXT(F13,"$#,##0.00")))</f>
        <v>none seen</v>
      </c>
      <c r="H13" s="5" t="s">
        <v>1610</v>
      </c>
      <c r="I13" s="5" t="s">
        <v>776</v>
      </c>
    </row>
    <row r="14" customFormat="false" ht="15" hidden="false" customHeight="false" outlineLevel="0" collapsed="false">
      <c r="A14" s="5" t="s">
        <v>1049</v>
      </c>
      <c r="B14" s="5"/>
      <c r="C14" s="5" t="n">
        <f aca="false">COUNTIF('Observed lines'!$F$2:$F$36,A14)</f>
        <v>0</v>
      </c>
      <c r="D14" s="5" t="n">
        <f aca="false">COUNTIFS('Observed lines'!$F$2:$F$36,A14,'Observed lines'!$G$2:$G$36,"&lt;&gt;")</f>
        <v>0</v>
      </c>
      <c r="E14" s="8" t="str">
        <f aca="false">IF(D14=0,"",_xlfn.MINIFS('Observed lines'!$G$2:$G$36,'Observed lines'!$F$2:$F$36,A14))</f>
        <v/>
      </c>
      <c r="F14" s="8" t="str">
        <f aca="false">IF(D14=0,"",_xlfn.MAXIFS('Observed lines'!$G$2:$G$36,'Observed lines'!$F$2:$F$36,A14))</f>
        <v/>
      </c>
      <c r="G14" s="5" t="str">
        <f aca="false">IF(D14=0,"none seen",IF(E14=F14,TEXT(E14,"$#,##0.00"),TEXT(E14,"$#,##0.00")&amp;" – "&amp;TEXT(F14,"$#,##0.00")))</f>
        <v>none seen</v>
      </c>
      <c r="H14" s="5" t="s">
        <v>1610</v>
      </c>
      <c r="I14" s="5" t="s">
        <v>776</v>
      </c>
    </row>
    <row r="15" customFormat="false" ht="23.85" hidden="false" customHeight="false" outlineLevel="0" collapsed="false">
      <c r="A15" s="5" t="s">
        <v>1050</v>
      </c>
      <c r="B15" s="5" t="s">
        <v>1051</v>
      </c>
      <c r="C15" s="5" t="n">
        <f aca="false">COUNTIF('Observed lines'!$F$2:$F$36,A15)</f>
        <v>1</v>
      </c>
      <c r="D15" s="5" t="n">
        <f aca="false">COUNTIFS('Observed lines'!$F$2:$F$36,A15,'Observed lines'!$G$2:$G$36,"&lt;&gt;")</f>
        <v>1</v>
      </c>
      <c r="E15" s="8" t="n">
        <f aca="false">IF(D15=0,"",_xlfn.MINIFS('Observed lines'!$G$2:$G$36,'Observed lines'!$F$2:$F$36,A15))</f>
        <v>37.78</v>
      </c>
      <c r="F15" s="8" t="n">
        <f aca="false">IF(D15=0,"",_xlfn.MAXIFS('Observed lines'!$G$2:$G$36,'Observed lines'!$F$2:$F$36,A15))</f>
        <v>37.78</v>
      </c>
      <c r="G15" s="5" t="str">
        <f aca="false">IF(D15=0,"none seen",IF(E15=F15,TEXT(E15,"$#,##0.00"),TEXT(E15,"$#,##0.00")&amp;" – "&amp;TEXT(F15,"$#,##0.00")))</f>
        <v>$37.78</v>
      </c>
      <c r="H15" s="5" t="s">
        <v>1611</v>
      </c>
      <c r="I15" s="5" t="s">
        <v>776</v>
      </c>
    </row>
    <row r="16" customFormat="false" ht="15" hidden="false" customHeight="false" outlineLevel="0" collapsed="false">
      <c r="A16" s="5" t="s">
        <v>1053</v>
      </c>
      <c r="B16" s="5"/>
      <c r="C16" s="5" t="n">
        <f aca="false">COUNTIF('Observed lines'!$F$2:$F$36,A16)</f>
        <v>0</v>
      </c>
      <c r="D16" s="5" t="n">
        <f aca="false">COUNTIFS('Observed lines'!$F$2:$F$36,A16,'Observed lines'!$G$2:$G$36,"&lt;&gt;")</f>
        <v>0</v>
      </c>
      <c r="E16" s="8" t="str">
        <f aca="false">IF(D16=0,"",_xlfn.MINIFS('Observed lines'!$G$2:$G$36,'Observed lines'!$F$2:$F$36,A16))</f>
        <v/>
      </c>
      <c r="F16" s="8" t="str">
        <f aca="false">IF(D16=0,"",_xlfn.MAXIFS('Observed lines'!$G$2:$G$36,'Observed lines'!$F$2:$F$36,A16))</f>
        <v/>
      </c>
      <c r="G16" s="5" t="str">
        <f aca="false">IF(D16=0,"none seen",IF(E16=F16,TEXT(E16,"$#,##0.00"),TEXT(E16,"$#,##0.00")&amp;" – "&amp;TEXT(F16,"$#,##0.00")))</f>
        <v>none seen</v>
      </c>
      <c r="H16" s="5" t="s">
        <v>1610</v>
      </c>
      <c r="I16" s="5" t="s">
        <v>776</v>
      </c>
    </row>
    <row r="17" customFormat="false" ht="15" hidden="false" customHeight="false" outlineLevel="0" collapsed="false">
      <c r="A17" s="5" t="s">
        <v>1054</v>
      </c>
      <c r="B17" s="5"/>
      <c r="C17" s="5" t="n">
        <f aca="false">COUNTIF('Observed lines'!$F$2:$F$36,A17)</f>
        <v>0</v>
      </c>
      <c r="D17" s="5" t="n">
        <f aca="false">COUNTIFS('Observed lines'!$F$2:$F$36,A17,'Observed lines'!$G$2:$G$36,"&lt;&gt;")</f>
        <v>0</v>
      </c>
      <c r="E17" s="8" t="str">
        <f aca="false">IF(D17=0,"",_xlfn.MINIFS('Observed lines'!$G$2:$G$36,'Observed lines'!$F$2:$F$36,A17))</f>
        <v/>
      </c>
      <c r="F17" s="8" t="str">
        <f aca="false">IF(D17=0,"",_xlfn.MAXIFS('Observed lines'!$G$2:$G$36,'Observed lines'!$F$2:$F$36,A17))</f>
        <v/>
      </c>
      <c r="G17" s="5" t="str">
        <f aca="false">IF(D17=0,"none seen",IF(E17=F17,TEXT(E17,"$#,##0.00"),TEXT(E17,"$#,##0.00")&amp;" – "&amp;TEXT(F17,"$#,##0.00")))</f>
        <v>none seen</v>
      </c>
      <c r="H17" s="5" t="s">
        <v>1610</v>
      </c>
      <c r="I17" s="5" t="s">
        <v>776</v>
      </c>
    </row>
    <row r="18" customFormat="false" ht="15" hidden="false" customHeight="false" outlineLevel="0" collapsed="false">
      <c r="A18" s="5" t="s">
        <v>1055</v>
      </c>
      <c r="B18" s="5"/>
      <c r="C18" s="5" t="n">
        <f aca="false">COUNTIF('Observed lines'!$F$2:$F$36,A18)</f>
        <v>0</v>
      </c>
      <c r="D18" s="5" t="n">
        <f aca="false">COUNTIFS('Observed lines'!$F$2:$F$36,A18,'Observed lines'!$G$2:$G$36,"&lt;&gt;")</f>
        <v>0</v>
      </c>
      <c r="E18" s="8" t="str">
        <f aca="false">IF(D18=0,"",_xlfn.MINIFS('Observed lines'!$G$2:$G$36,'Observed lines'!$F$2:$F$36,A18))</f>
        <v/>
      </c>
      <c r="F18" s="8" t="str">
        <f aca="false">IF(D18=0,"",_xlfn.MAXIFS('Observed lines'!$G$2:$G$36,'Observed lines'!$F$2:$F$36,A18))</f>
        <v/>
      </c>
      <c r="G18" s="5" t="str">
        <f aca="false">IF(D18=0,"none seen",IF(E18=F18,TEXT(E18,"$#,##0.00"),TEXT(E18,"$#,##0.00")&amp;" – "&amp;TEXT(F18,"$#,##0.00")))</f>
        <v>none seen</v>
      </c>
      <c r="H18" s="5" t="s">
        <v>1610</v>
      </c>
      <c r="I18" s="5" t="s">
        <v>776</v>
      </c>
    </row>
    <row r="19" customFormat="false" ht="15" hidden="false" customHeight="false" outlineLevel="0" collapsed="false">
      <c r="A19" s="5" t="s">
        <v>1056</v>
      </c>
      <c r="B19" s="5"/>
      <c r="C19" s="5" t="n">
        <f aca="false">COUNTIF('Observed lines'!$F$2:$F$36,A19)</f>
        <v>0</v>
      </c>
      <c r="D19" s="5" t="n">
        <f aca="false">COUNTIFS('Observed lines'!$F$2:$F$36,A19,'Observed lines'!$G$2:$G$36,"&lt;&gt;")</f>
        <v>0</v>
      </c>
      <c r="E19" s="8" t="str">
        <f aca="false">IF(D19=0,"",_xlfn.MINIFS('Observed lines'!$G$2:$G$36,'Observed lines'!$F$2:$F$36,A19))</f>
        <v/>
      </c>
      <c r="F19" s="8" t="str">
        <f aca="false">IF(D19=0,"",_xlfn.MAXIFS('Observed lines'!$G$2:$G$36,'Observed lines'!$F$2:$F$36,A19))</f>
        <v/>
      </c>
      <c r="G19" s="5" t="str">
        <f aca="false">IF(D19=0,"none seen",IF(E19=F19,TEXT(E19,"$#,##0.00"),TEXT(E19,"$#,##0.00")&amp;" – "&amp;TEXT(F19,"$#,##0.00")))</f>
        <v>none seen</v>
      </c>
      <c r="H19" s="5" t="s">
        <v>1610</v>
      </c>
      <c r="I19" s="5" t="s">
        <v>776</v>
      </c>
    </row>
    <row r="20" customFormat="false" ht="15" hidden="false" customHeight="false" outlineLevel="0" collapsed="false">
      <c r="A20" s="5" t="s">
        <v>1057</v>
      </c>
      <c r="B20" s="5"/>
      <c r="C20" s="5" t="n">
        <f aca="false">COUNTIF('Observed lines'!$F$2:$F$36,A20)</f>
        <v>0</v>
      </c>
      <c r="D20" s="5" t="n">
        <f aca="false">COUNTIFS('Observed lines'!$F$2:$F$36,A20,'Observed lines'!$G$2:$G$36,"&lt;&gt;")</f>
        <v>0</v>
      </c>
      <c r="E20" s="8" t="str">
        <f aca="false">IF(D20=0,"",_xlfn.MINIFS('Observed lines'!$G$2:$G$36,'Observed lines'!$F$2:$F$36,A20))</f>
        <v/>
      </c>
      <c r="F20" s="8" t="str">
        <f aca="false">IF(D20=0,"",_xlfn.MAXIFS('Observed lines'!$G$2:$G$36,'Observed lines'!$F$2:$F$36,A20))</f>
        <v/>
      </c>
      <c r="G20" s="5" t="str">
        <f aca="false">IF(D20=0,"none seen",IF(E20=F20,TEXT(E20,"$#,##0.00"),TEXT(E20,"$#,##0.00")&amp;" – "&amp;TEXT(F20,"$#,##0.00")))</f>
        <v>none seen</v>
      </c>
      <c r="H20" s="5" t="s">
        <v>1610</v>
      </c>
      <c r="I20" s="5" t="s">
        <v>776</v>
      </c>
    </row>
    <row r="21" customFormat="false" ht="15" hidden="false" customHeight="false" outlineLevel="0" collapsed="false">
      <c r="A21" s="5" t="s">
        <v>1058</v>
      </c>
      <c r="B21" s="5" t="s">
        <v>1059</v>
      </c>
      <c r="C21" s="5" t="n">
        <f aca="false">COUNTIF('Observed lines'!$F$2:$F$36,A21)</f>
        <v>1</v>
      </c>
      <c r="D21" s="5" t="n">
        <f aca="false">COUNTIFS('Observed lines'!$F$2:$F$36,A21,'Observed lines'!$G$2:$G$36,"&lt;&gt;")</f>
        <v>1</v>
      </c>
      <c r="E21" s="8" t="n">
        <f aca="false">IF(D21=0,"",_xlfn.MINIFS('Observed lines'!$G$2:$G$36,'Observed lines'!$F$2:$F$36,A21))</f>
        <v>374.66</v>
      </c>
      <c r="F21" s="8" t="n">
        <f aca="false">IF(D21=0,"",_xlfn.MAXIFS('Observed lines'!$G$2:$G$36,'Observed lines'!$F$2:$F$36,A21))</f>
        <v>374.66</v>
      </c>
      <c r="G21" s="5" t="str">
        <f aca="false">IF(D21=0,"none seen",IF(E21=F21,TEXT(E21,"$#,##0.00"),TEXT(E21,"$#,##0.00")&amp;" – "&amp;TEXT(F21,"$#,##0.00")))</f>
        <v>$374.66</v>
      </c>
      <c r="H21" s="5" t="s">
        <v>1611</v>
      </c>
      <c r="I21" s="5" t="s">
        <v>776</v>
      </c>
    </row>
    <row r="22" customFormat="false" ht="15" hidden="false" customHeight="false" outlineLevel="0" collapsed="false">
      <c r="A22" s="5" t="s">
        <v>1061</v>
      </c>
      <c r="B22" s="5"/>
      <c r="C22" s="5" t="n">
        <f aca="false">COUNTIF('Observed lines'!$F$2:$F$36,A22)</f>
        <v>0</v>
      </c>
      <c r="D22" s="5" t="n">
        <f aca="false">COUNTIFS('Observed lines'!$F$2:$F$36,A22,'Observed lines'!$G$2:$G$36,"&lt;&gt;")</f>
        <v>0</v>
      </c>
      <c r="E22" s="8" t="str">
        <f aca="false">IF(D22=0,"",_xlfn.MINIFS('Observed lines'!$G$2:$G$36,'Observed lines'!$F$2:$F$36,A22))</f>
        <v/>
      </c>
      <c r="F22" s="8" t="str">
        <f aca="false">IF(D22=0,"",_xlfn.MAXIFS('Observed lines'!$G$2:$G$36,'Observed lines'!$F$2:$F$36,A22))</f>
        <v/>
      </c>
      <c r="G22" s="5" t="str">
        <f aca="false">IF(D22=0,"none seen",IF(E22=F22,TEXT(E22,"$#,##0.00"),TEXT(E22,"$#,##0.00")&amp;" – "&amp;TEXT(F22,"$#,##0.00")))</f>
        <v>none seen</v>
      </c>
      <c r="H22" s="5" t="s">
        <v>1610</v>
      </c>
      <c r="I22" s="5" t="s">
        <v>776</v>
      </c>
    </row>
    <row r="23" customFormat="false" ht="15" hidden="false" customHeight="false" outlineLevel="0" collapsed="false">
      <c r="A23" s="5" t="s">
        <v>1062</v>
      </c>
      <c r="B23" s="5"/>
      <c r="C23" s="5" t="n">
        <f aca="false">COUNTIF('Observed lines'!$F$2:$F$36,A23)</f>
        <v>0</v>
      </c>
      <c r="D23" s="5" t="n">
        <f aca="false">COUNTIFS('Observed lines'!$F$2:$F$36,A23,'Observed lines'!$G$2:$G$36,"&lt;&gt;")</f>
        <v>0</v>
      </c>
      <c r="E23" s="8" t="str">
        <f aca="false">IF(D23=0,"",_xlfn.MINIFS('Observed lines'!$G$2:$G$36,'Observed lines'!$F$2:$F$36,A23))</f>
        <v/>
      </c>
      <c r="F23" s="8" t="str">
        <f aca="false">IF(D23=0,"",_xlfn.MAXIFS('Observed lines'!$G$2:$G$36,'Observed lines'!$F$2:$F$36,A23))</f>
        <v/>
      </c>
      <c r="G23" s="5" t="str">
        <f aca="false">IF(D23=0,"none seen",IF(E23=F23,TEXT(E23,"$#,##0.00"),TEXT(E23,"$#,##0.00")&amp;" – "&amp;TEXT(F23,"$#,##0.00")))</f>
        <v>none seen</v>
      </c>
      <c r="H23" s="5" t="s">
        <v>1610</v>
      </c>
      <c r="I23" s="5" t="s">
        <v>776</v>
      </c>
    </row>
    <row r="24" customFormat="false" ht="15" hidden="false" customHeight="false" outlineLevel="0" collapsed="false">
      <c r="A24" s="5" t="s">
        <v>1063</v>
      </c>
      <c r="B24" s="5" t="s">
        <v>1064</v>
      </c>
      <c r="C24" s="5" t="n">
        <f aca="false">COUNTIF('Observed lines'!$F$2:$F$36,A24)</f>
        <v>2</v>
      </c>
      <c r="D24" s="5" t="n">
        <f aca="false">COUNTIFS('Observed lines'!$F$2:$F$36,A24,'Observed lines'!$G$2:$G$36,"&lt;&gt;")</f>
        <v>2</v>
      </c>
      <c r="E24" s="8" t="n">
        <f aca="false">IF(D24=0,"",_xlfn.MINIFS('Observed lines'!$G$2:$G$36,'Observed lines'!$F$2:$F$36,A24))</f>
        <v>2.12</v>
      </c>
      <c r="F24" s="8" t="n">
        <f aca="false">IF(D24=0,"",_xlfn.MAXIFS('Observed lines'!$G$2:$G$36,'Observed lines'!$F$2:$F$36,A24))</f>
        <v>10.32</v>
      </c>
      <c r="G24" s="5" t="str">
        <f aca="false">IF(D24=0,"none seen",IF(E24=F24,TEXT(E24,"$#,##0.00"),TEXT(E24,"$#,##0.00")&amp;" – "&amp;TEXT(F24,"$#,##0.00")))</f>
        <v>$2.12 – $10.32</v>
      </c>
      <c r="H24" s="5" t="s">
        <v>1611</v>
      </c>
      <c r="I24" s="5" t="s">
        <v>776</v>
      </c>
    </row>
    <row r="25" customFormat="false" ht="15" hidden="false" customHeight="false" outlineLevel="0" collapsed="false">
      <c r="A25" s="5" t="s">
        <v>1066</v>
      </c>
      <c r="B25" s="5" t="s">
        <v>1067</v>
      </c>
      <c r="C25" s="5" t="n">
        <f aca="false">COUNTIF('Observed lines'!$F$2:$F$36,A25)</f>
        <v>2</v>
      </c>
      <c r="D25" s="5" t="n">
        <f aca="false">COUNTIFS('Observed lines'!$F$2:$F$36,A25,'Observed lines'!$G$2:$G$36,"&lt;&gt;")</f>
        <v>2</v>
      </c>
      <c r="E25" s="8" t="n">
        <f aca="false">IF(D25=0,"",_xlfn.MINIFS('Observed lines'!$G$2:$G$36,'Observed lines'!$F$2:$F$36,A25))</f>
        <v>29.41</v>
      </c>
      <c r="F25" s="8" t="n">
        <f aca="false">IF(D25=0,"",_xlfn.MAXIFS('Observed lines'!$G$2:$G$36,'Observed lines'!$F$2:$F$36,A25))</f>
        <v>143.2</v>
      </c>
      <c r="G25" s="5" t="str">
        <f aca="false">IF(D25=0,"none seen",IF(E25=F25,TEXT(E25,"$#,##0.00"),TEXT(E25,"$#,##0.00")&amp;" – "&amp;TEXT(F25,"$#,##0.00")))</f>
        <v>$29.41 – $143.20</v>
      </c>
      <c r="H25" s="5" t="s">
        <v>1611</v>
      </c>
      <c r="I25" s="5" t="s">
        <v>776</v>
      </c>
    </row>
    <row r="26" customFormat="false" ht="15" hidden="false" customHeight="false" outlineLevel="0" collapsed="false">
      <c r="A26" s="5" t="s">
        <v>1069</v>
      </c>
      <c r="B26" s="5"/>
      <c r="C26" s="5" t="n">
        <f aca="false">COUNTIF('Observed lines'!$F$2:$F$36,A26)</f>
        <v>0</v>
      </c>
      <c r="D26" s="5" t="n">
        <f aca="false">COUNTIFS('Observed lines'!$F$2:$F$36,A26,'Observed lines'!$G$2:$G$36,"&lt;&gt;")</f>
        <v>0</v>
      </c>
      <c r="E26" s="8" t="str">
        <f aca="false">IF(D26=0,"",_xlfn.MINIFS('Observed lines'!$G$2:$G$36,'Observed lines'!$F$2:$F$36,A26))</f>
        <v/>
      </c>
      <c r="F26" s="8" t="str">
        <f aca="false">IF(D26=0,"",_xlfn.MAXIFS('Observed lines'!$G$2:$G$36,'Observed lines'!$F$2:$F$36,A26))</f>
        <v/>
      </c>
      <c r="G26" s="5" t="str">
        <f aca="false">IF(D26=0,"none seen",IF(E26=F26,TEXT(E26,"$#,##0.00"),TEXT(E26,"$#,##0.00")&amp;" – "&amp;TEXT(F26,"$#,##0.00")))</f>
        <v>none seen</v>
      </c>
      <c r="H26" s="5" t="s">
        <v>1610</v>
      </c>
      <c r="I26" s="5" t="s">
        <v>776</v>
      </c>
    </row>
    <row r="27" customFormat="false" ht="15" hidden="false" customHeight="false" outlineLevel="0" collapsed="false">
      <c r="A27" s="5" t="s">
        <v>1070</v>
      </c>
      <c r="B27" s="5"/>
      <c r="C27" s="5" t="n">
        <f aca="false">COUNTIF('Observed lines'!$F$2:$F$36,A27)</f>
        <v>0</v>
      </c>
      <c r="D27" s="5" t="n">
        <f aca="false">COUNTIFS('Observed lines'!$F$2:$F$36,A27,'Observed lines'!$G$2:$G$36,"&lt;&gt;")</f>
        <v>0</v>
      </c>
      <c r="E27" s="8" t="str">
        <f aca="false">IF(D27=0,"",_xlfn.MINIFS('Observed lines'!$G$2:$G$36,'Observed lines'!$F$2:$F$36,A27))</f>
        <v/>
      </c>
      <c r="F27" s="8" t="str">
        <f aca="false">IF(D27=0,"",_xlfn.MAXIFS('Observed lines'!$G$2:$G$36,'Observed lines'!$F$2:$F$36,A27))</f>
        <v/>
      </c>
      <c r="G27" s="5" t="str">
        <f aca="false">IF(D27=0,"none seen",IF(E27=F27,TEXT(E27,"$#,##0.00"),TEXT(E27,"$#,##0.00")&amp;" – "&amp;TEXT(F27,"$#,##0.00")))</f>
        <v>none seen</v>
      </c>
      <c r="H27" s="5" t="s">
        <v>1610</v>
      </c>
      <c r="I27" s="5" t="s">
        <v>776</v>
      </c>
    </row>
    <row r="28" customFormat="false" ht="15" hidden="false" customHeight="false" outlineLevel="0" collapsed="false">
      <c r="A28" s="5" t="s">
        <v>1071</v>
      </c>
      <c r="B28" s="5"/>
      <c r="C28" s="5" t="n">
        <f aca="false">COUNTIF('Observed lines'!$F$2:$F$36,A28)</f>
        <v>0</v>
      </c>
      <c r="D28" s="5" t="n">
        <f aca="false">COUNTIFS('Observed lines'!$F$2:$F$36,A28,'Observed lines'!$G$2:$G$36,"&lt;&gt;")</f>
        <v>0</v>
      </c>
      <c r="E28" s="8" t="str">
        <f aca="false">IF(D28=0,"",_xlfn.MINIFS('Observed lines'!$G$2:$G$36,'Observed lines'!$F$2:$F$36,A28))</f>
        <v/>
      </c>
      <c r="F28" s="8" t="str">
        <f aca="false">IF(D28=0,"",_xlfn.MAXIFS('Observed lines'!$G$2:$G$36,'Observed lines'!$F$2:$F$36,A28))</f>
        <v/>
      </c>
      <c r="G28" s="5" t="str">
        <f aca="false">IF(D28=0,"none seen",IF(E28=F28,TEXT(E28,"$#,##0.00"),TEXT(E28,"$#,##0.00")&amp;" – "&amp;TEXT(F28,"$#,##0.00")))</f>
        <v>none seen</v>
      </c>
      <c r="H28" s="5" t="s">
        <v>1610</v>
      </c>
      <c r="I28" s="5" t="s">
        <v>776</v>
      </c>
    </row>
    <row r="29" customFormat="false" ht="15" hidden="false" customHeight="false" outlineLevel="0" collapsed="false">
      <c r="A29" s="5" t="s">
        <v>1072</v>
      </c>
      <c r="B29" s="5"/>
      <c r="C29" s="5" t="n">
        <f aca="false">COUNTIF('Observed lines'!$F$2:$F$36,A29)</f>
        <v>0</v>
      </c>
      <c r="D29" s="5" t="n">
        <f aca="false">COUNTIFS('Observed lines'!$F$2:$F$36,A29,'Observed lines'!$G$2:$G$36,"&lt;&gt;")</f>
        <v>0</v>
      </c>
      <c r="E29" s="8" t="str">
        <f aca="false">IF(D29=0,"",_xlfn.MINIFS('Observed lines'!$G$2:$G$36,'Observed lines'!$F$2:$F$36,A29))</f>
        <v/>
      </c>
      <c r="F29" s="8" t="str">
        <f aca="false">IF(D29=0,"",_xlfn.MAXIFS('Observed lines'!$G$2:$G$36,'Observed lines'!$F$2:$F$36,A29))</f>
        <v/>
      </c>
      <c r="G29" s="5" t="str">
        <f aca="false">IF(D29=0,"none seen",IF(E29=F29,TEXT(E29,"$#,##0.00"),TEXT(E29,"$#,##0.00")&amp;" – "&amp;TEXT(F29,"$#,##0.00")))</f>
        <v>none seen</v>
      </c>
      <c r="H29" s="5" t="s">
        <v>1610</v>
      </c>
      <c r="I29" s="5" t="s">
        <v>776</v>
      </c>
    </row>
    <row r="30" customFormat="false" ht="15" hidden="false" customHeight="false" outlineLevel="0" collapsed="false">
      <c r="A30" s="5" t="s">
        <v>1073</v>
      </c>
      <c r="B30" s="5"/>
      <c r="C30" s="5" t="n">
        <f aca="false">COUNTIF('Observed lines'!$F$2:$F$36,A30)</f>
        <v>0</v>
      </c>
      <c r="D30" s="5" t="n">
        <f aca="false">COUNTIFS('Observed lines'!$F$2:$F$36,A30,'Observed lines'!$G$2:$G$36,"&lt;&gt;")</f>
        <v>0</v>
      </c>
      <c r="E30" s="8" t="str">
        <f aca="false">IF(D30=0,"",_xlfn.MINIFS('Observed lines'!$G$2:$G$36,'Observed lines'!$F$2:$F$36,A30))</f>
        <v/>
      </c>
      <c r="F30" s="8" t="str">
        <f aca="false">IF(D30=0,"",_xlfn.MAXIFS('Observed lines'!$G$2:$G$36,'Observed lines'!$F$2:$F$36,A30))</f>
        <v/>
      </c>
      <c r="G30" s="5" t="str">
        <f aca="false">IF(D30=0,"none seen",IF(E30=F30,TEXT(E30,"$#,##0.00"),TEXT(E30,"$#,##0.00")&amp;" – "&amp;TEXT(F30,"$#,##0.00")))</f>
        <v>none seen</v>
      </c>
      <c r="H30" s="5" t="s">
        <v>1610</v>
      </c>
      <c r="I30" s="5" t="s">
        <v>776</v>
      </c>
    </row>
    <row r="31" customFormat="false" ht="15" hidden="false" customHeight="false" outlineLevel="0" collapsed="false">
      <c r="A31" s="5" t="s">
        <v>1074</v>
      </c>
      <c r="B31" s="5"/>
      <c r="C31" s="5" t="n">
        <f aca="false">COUNTIF('Observed lines'!$F$2:$F$36,A31)</f>
        <v>0</v>
      </c>
      <c r="D31" s="5" t="n">
        <f aca="false">COUNTIFS('Observed lines'!$F$2:$F$36,A31,'Observed lines'!$G$2:$G$36,"&lt;&gt;")</f>
        <v>0</v>
      </c>
      <c r="E31" s="8" t="str">
        <f aca="false">IF(D31=0,"",_xlfn.MINIFS('Observed lines'!$G$2:$G$36,'Observed lines'!$F$2:$F$36,A31))</f>
        <v/>
      </c>
      <c r="F31" s="8" t="str">
        <f aca="false">IF(D31=0,"",_xlfn.MAXIFS('Observed lines'!$G$2:$G$36,'Observed lines'!$F$2:$F$36,A31))</f>
        <v/>
      </c>
      <c r="G31" s="5" t="str">
        <f aca="false">IF(D31=0,"none seen",IF(E31=F31,TEXT(E31,"$#,##0.00"),TEXT(E31,"$#,##0.00")&amp;" – "&amp;TEXT(F31,"$#,##0.00")))</f>
        <v>none seen</v>
      </c>
      <c r="H31" s="5" t="s">
        <v>1610</v>
      </c>
      <c r="I31" s="5" t="s">
        <v>776</v>
      </c>
    </row>
    <row r="32" customFormat="false" ht="15" hidden="false" customHeight="false" outlineLevel="0" collapsed="false">
      <c r="A32" s="5" t="s">
        <v>1075</v>
      </c>
      <c r="B32" s="5"/>
      <c r="C32" s="5" t="n">
        <f aca="false">COUNTIF('Observed lines'!$F$2:$F$36,A32)</f>
        <v>0</v>
      </c>
      <c r="D32" s="5" t="n">
        <f aca="false">COUNTIFS('Observed lines'!$F$2:$F$36,A32,'Observed lines'!$G$2:$G$36,"&lt;&gt;")</f>
        <v>0</v>
      </c>
      <c r="E32" s="8" t="str">
        <f aca="false">IF(D32=0,"",_xlfn.MINIFS('Observed lines'!$G$2:$G$36,'Observed lines'!$F$2:$F$36,A32))</f>
        <v/>
      </c>
      <c r="F32" s="8" t="str">
        <f aca="false">IF(D32=0,"",_xlfn.MAXIFS('Observed lines'!$G$2:$G$36,'Observed lines'!$F$2:$F$36,A32))</f>
        <v/>
      </c>
      <c r="G32" s="5" t="str">
        <f aca="false">IF(D32=0,"none seen",IF(E32=F32,TEXT(E32,"$#,##0.00"),TEXT(E32,"$#,##0.00")&amp;" – "&amp;TEXT(F32,"$#,##0.00")))</f>
        <v>none seen</v>
      </c>
      <c r="H32" s="5" t="s">
        <v>1610</v>
      </c>
      <c r="I32" s="5" t="s">
        <v>776</v>
      </c>
    </row>
    <row r="33" customFormat="false" ht="15" hidden="false" customHeight="false" outlineLevel="0" collapsed="false">
      <c r="A33" s="5" t="s">
        <v>1076</v>
      </c>
      <c r="B33" s="5"/>
      <c r="C33" s="5" t="n">
        <f aca="false">COUNTIF('Observed lines'!$F$2:$F$36,A33)</f>
        <v>0</v>
      </c>
      <c r="D33" s="5" t="n">
        <f aca="false">COUNTIFS('Observed lines'!$F$2:$F$36,A33,'Observed lines'!$G$2:$G$36,"&lt;&gt;")</f>
        <v>0</v>
      </c>
      <c r="E33" s="8" t="str">
        <f aca="false">IF(D33=0,"",_xlfn.MINIFS('Observed lines'!$G$2:$G$36,'Observed lines'!$F$2:$F$36,A33))</f>
        <v/>
      </c>
      <c r="F33" s="8" t="str">
        <f aca="false">IF(D33=0,"",_xlfn.MAXIFS('Observed lines'!$G$2:$G$36,'Observed lines'!$F$2:$F$36,A33))</f>
        <v/>
      </c>
      <c r="G33" s="5" t="str">
        <f aca="false">IF(D33=0,"none seen",IF(E33=F33,TEXT(E33,"$#,##0.00"),TEXT(E33,"$#,##0.00")&amp;" – "&amp;TEXT(F33,"$#,##0.00")))</f>
        <v>none seen</v>
      </c>
      <c r="H33" s="5" t="s">
        <v>1610</v>
      </c>
      <c r="I33" s="5" t="s">
        <v>776</v>
      </c>
    </row>
    <row r="34" customFormat="false" ht="15" hidden="false" customHeight="false" outlineLevel="0" collapsed="false">
      <c r="A34" s="5" t="s">
        <v>1077</v>
      </c>
      <c r="B34" s="5"/>
      <c r="C34" s="5" t="n">
        <f aca="false">COUNTIF('Observed lines'!$F$2:$F$36,A34)</f>
        <v>0</v>
      </c>
      <c r="D34" s="5" t="n">
        <f aca="false">COUNTIFS('Observed lines'!$F$2:$F$36,A34,'Observed lines'!$G$2:$G$36,"&lt;&gt;")</f>
        <v>0</v>
      </c>
      <c r="E34" s="8" t="str">
        <f aca="false">IF(D34=0,"",_xlfn.MINIFS('Observed lines'!$G$2:$G$36,'Observed lines'!$F$2:$F$36,A34))</f>
        <v/>
      </c>
      <c r="F34" s="8" t="str">
        <f aca="false">IF(D34=0,"",_xlfn.MAXIFS('Observed lines'!$G$2:$G$36,'Observed lines'!$F$2:$F$36,A34))</f>
        <v/>
      </c>
      <c r="G34" s="5" t="str">
        <f aca="false">IF(D34=0,"none seen",IF(E34=F34,TEXT(E34,"$#,##0.00"),TEXT(E34,"$#,##0.00")&amp;" – "&amp;TEXT(F34,"$#,##0.00")))</f>
        <v>none seen</v>
      </c>
      <c r="H34" s="5" t="s">
        <v>1610</v>
      </c>
      <c r="I34" s="5" t="s">
        <v>776</v>
      </c>
    </row>
    <row r="35" customFormat="false" ht="15" hidden="false" customHeight="false" outlineLevel="0" collapsed="false">
      <c r="A35" s="5" t="s">
        <v>1078</v>
      </c>
      <c r="B35" s="5"/>
      <c r="C35" s="5" t="n">
        <f aca="false">COUNTIF('Observed lines'!$F$2:$F$36,A35)</f>
        <v>0</v>
      </c>
      <c r="D35" s="5" t="n">
        <f aca="false">COUNTIFS('Observed lines'!$F$2:$F$36,A35,'Observed lines'!$G$2:$G$36,"&lt;&gt;")</f>
        <v>0</v>
      </c>
      <c r="E35" s="8" t="str">
        <f aca="false">IF(D35=0,"",_xlfn.MINIFS('Observed lines'!$G$2:$G$36,'Observed lines'!$F$2:$F$36,A35))</f>
        <v/>
      </c>
      <c r="F35" s="8" t="str">
        <f aca="false">IF(D35=0,"",_xlfn.MAXIFS('Observed lines'!$G$2:$G$36,'Observed lines'!$F$2:$F$36,A35))</f>
        <v/>
      </c>
      <c r="G35" s="5" t="str">
        <f aca="false">IF(D35=0,"none seen",IF(E35=F35,TEXT(E35,"$#,##0.00"),TEXT(E35,"$#,##0.00")&amp;" – "&amp;TEXT(F35,"$#,##0.00")))</f>
        <v>none seen</v>
      </c>
      <c r="H35" s="5" t="s">
        <v>1610</v>
      </c>
      <c r="I35" s="5" t="s">
        <v>776</v>
      </c>
    </row>
    <row r="36" customFormat="false" ht="15" hidden="false" customHeight="false" outlineLevel="0" collapsed="false">
      <c r="A36" s="5" t="s">
        <v>1079</v>
      </c>
      <c r="B36" s="5"/>
      <c r="C36" s="5" t="n">
        <f aca="false">COUNTIF('Observed lines'!$F$2:$F$36,A36)</f>
        <v>0</v>
      </c>
      <c r="D36" s="5" t="n">
        <f aca="false">COUNTIFS('Observed lines'!$F$2:$F$36,A36,'Observed lines'!$G$2:$G$36,"&lt;&gt;")</f>
        <v>0</v>
      </c>
      <c r="E36" s="8" t="str">
        <f aca="false">IF(D36=0,"",_xlfn.MINIFS('Observed lines'!$G$2:$G$36,'Observed lines'!$F$2:$F$36,A36))</f>
        <v/>
      </c>
      <c r="F36" s="8" t="str">
        <f aca="false">IF(D36=0,"",_xlfn.MAXIFS('Observed lines'!$G$2:$G$36,'Observed lines'!$F$2:$F$36,A36))</f>
        <v/>
      </c>
      <c r="G36" s="5" t="str">
        <f aca="false">IF(D36=0,"none seen",IF(E36=F36,TEXT(E36,"$#,##0.00"),TEXT(E36,"$#,##0.00")&amp;" – "&amp;TEXT(F36,"$#,##0.00")))</f>
        <v>none seen</v>
      </c>
      <c r="H36" s="5" t="s">
        <v>1610</v>
      </c>
      <c r="I36" s="5" t="s">
        <v>776</v>
      </c>
    </row>
    <row r="37" customFormat="false" ht="15" hidden="false" customHeight="false" outlineLevel="0" collapsed="false">
      <c r="A37" s="5" t="s">
        <v>1080</v>
      </c>
      <c r="B37" s="5"/>
      <c r="C37" s="5" t="n">
        <f aca="false">COUNTIF('Observed lines'!$F$2:$F$36,A37)</f>
        <v>0</v>
      </c>
      <c r="D37" s="5" t="n">
        <f aca="false">COUNTIFS('Observed lines'!$F$2:$F$36,A37,'Observed lines'!$G$2:$G$36,"&lt;&gt;")</f>
        <v>0</v>
      </c>
      <c r="E37" s="8" t="str">
        <f aca="false">IF(D37=0,"",_xlfn.MINIFS('Observed lines'!$G$2:$G$36,'Observed lines'!$F$2:$F$36,A37))</f>
        <v/>
      </c>
      <c r="F37" s="8" t="str">
        <f aca="false">IF(D37=0,"",_xlfn.MAXIFS('Observed lines'!$G$2:$G$36,'Observed lines'!$F$2:$F$36,A37))</f>
        <v/>
      </c>
      <c r="G37" s="5" t="str">
        <f aca="false">IF(D37=0,"none seen",IF(E37=F37,TEXT(E37,"$#,##0.00"),TEXT(E37,"$#,##0.00")&amp;" – "&amp;TEXT(F37,"$#,##0.00")))</f>
        <v>none seen</v>
      </c>
      <c r="H37" s="5" t="s">
        <v>1610</v>
      </c>
      <c r="I37" s="5" t="s">
        <v>776</v>
      </c>
    </row>
    <row r="38" customFormat="false" ht="15" hidden="false" customHeight="false" outlineLevel="0" collapsed="false">
      <c r="A38" s="5" t="s">
        <v>1081</v>
      </c>
      <c r="B38" s="5"/>
      <c r="C38" s="5" t="n">
        <f aca="false">COUNTIF('Observed lines'!$F$2:$F$36,A38)</f>
        <v>0</v>
      </c>
      <c r="D38" s="5" t="n">
        <f aca="false">COUNTIFS('Observed lines'!$F$2:$F$36,A38,'Observed lines'!$G$2:$G$36,"&lt;&gt;")</f>
        <v>0</v>
      </c>
      <c r="E38" s="8" t="str">
        <f aca="false">IF(D38=0,"",_xlfn.MINIFS('Observed lines'!$G$2:$G$36,'Observed lines'!$F$2:$F$36,A38))</f>
        <v/>
      </c>
      <c r="F38" s="8" t="str">
        <f aca="false">IF(D38=0,"",_xlfn.MAXIFS('Observed lines'!$G$2:$G$36,'Observed lines'!$F$2:$F$36,A38))</f>
        <v/>
      </c>
      <c r="G38" s="5" t="str">
        <f aca="false">IF(D38=0,"none seen",IF(E38=F38,TEXT(E38,"$#,##0.00"),TEXT(E38,"$#,##0.00")&amp;" – "&amp;TEXT(F38,"$#,##0.00")))</f>
        <v>none seen</v>
      </c>
      <c r="H38" s="5" t="s">
        <v>1610</v>
      </c>
      <c r="I38" s="5" t="s">
        <v>776</v>
      </c>
    </row>
    <row r="39" customFormat="false" ht="15" hidden="false" customHeight="false" outlineLevel="0" collapsed="false">
      <c r="A39" s="5" t="s">
        <v>1082</v>
      </c>
      <c r="B39" s="5"/>
      <c r="C39" s="5" t="n">
        <f aca="false">COUNTIF('Observed lines'!$F$2:$F$36,A39)</f>
        <v>0</v>
      </c>
      <c r="D39" s="5" t="n">
        <f aca="false">COUNTIFS('Observed lines'!$F$2:$F$36,A39,'Observed lines'!$G$2:$G$36,"&lt;&gt;")</f>
        <v>0</v>
      </c>
      <c r="E39" s="8" t="str">
        <f aca="false">IF(D39=0,"",_xlfn.MINIFS('Observed lines'!$G$2:$G$36,'Observed lines'!$F$2:$F$36,A39))</f>
        <v/>
      </c>
      <c r="F39" s="8" t="str">
        <f aca="false">IF(D39=0,"",_xlfn.MAXIFS('Observed lines'!$G$2:$G$36,'Observed lines'!$F$2:$F$36,A39))</f>
        <v/>
      </c>
      <c r="G39" s="5" t="str">
        <f aca="false">IF(D39=0,"none seen",IF(E39=F39,TEXT(E39,"$#,##0.00"),TEXT(E39,"$#,##0.00")&amp;" – "&amp;TEXT(F39,"$#,##0.00")))</f>
        <v>none seen</v>
      </c>
      <c r="H39" s="5" t="s">
        <v>1610</v>
      </c>
      <c r="I39" s="5" t="s">
        <v>776</v>
      </c>
    </row>
    <row r="40" customFormat="false" ht="15" hidden="false" customHeight="false" outlineLevel="0" collapsed="false">
      <c r="A40" s="5" t="s">
        <v>1083</v>
      </c>
      <c r="B40" s="5"/>
      <c r="C40" s="5" t="n">
        <f aca="false">COUNTIF('Observed lines'!$F$2:$F$36,A40)</f>
        <v>0</v>
      </c>
      <c r="D40" s="5" t="n">
        <f aca="false">COUNTIFS('Observed lines'!$F$2:$F$36,A40,'Observed lines'!$G$2:$G$36,"&lt;&gt;")</f>
        <v>0</v>
      </c>
      <c r="E40" s="8" t="str">
        <f aca="false">IF(D40=0,"",_xlfn.MINIFS('Observed lines'!$G$2:$G$36,'Observed lines'!$F$2:$F$36,A40))</f>
        <v/>
      </c>
      <c r="F40" s="8" t="str">
        <f aca="false">IF(D40=0,"",_xlfn.MAXIFS('Observed lines'!$G$2:$G$36,'Observed lines'!$F$2:$F$36,A40))</f>
        <v/>
      </c>
      <c r="G40" s="5" t="str">
        <f aca="false">IF(D40=0,"none seen",IF(E40=F40,TEXT(E40,"$#,##0.00"),TEXT(E40,"$#,##0.00")&amp;" – "&amp;TEXT(F40,"$#,##0.00")))</f>
        <v>none seen</v>
      </c>
      <c r="H40" s="5" t="s">
        <v>1610</v>
      </c>
      <c r="I40" s="5" t="s">
        <v>776</v>
      </c>
    </row>
    <row r="41" customFormat="false" ht="15" hidden="false" customHeight="false" outlineLevel="0" collapsed="false">
      <c r="A41" s="5" t="s">
        <v>1084</v>
      </c>
      <c r="B41" s="5" t="s">
        <v>1085</v>
      </c>
      <c r="C41" s="5" t="n">
        <f aca="false">COUNTIF('Observed lines'!$F$2:$F$36,A41)</f>
        <v>1</v>
      </c>
      <c r="D41" s="5" t="n">
        <f aca="false">COUNTIFS('Observed lines'!$F$2:$F$36,A41,'Observed lines'!$G$2:$G$36,"&lt;&gt;")</f>
        <v>1</v>
      </c>
      <c r="E41" s="8" t="n">
        <f aca="false">IF(D41=0,"",_xlfn.MINIFS('Observed lines'!$G$2:$G$36,'Observed lines'!$F$2:$F$36,A41))</f>
        <v>228.66</v>
      </c>
      <c r="F41" s="8" t="n">
        <f aca="false">IF(D41=0,"",_xlfn.MAXIFS('Observed lines'!$G$2:$G$36,'Observed lines'!$F$2:$F$36,A41))</f>
        <v>228.66</v>
      </c>
      <c r="G41" s="5" t="str">
        <f aca="false">IF(D41=0,"none seen",IF(E41=F41,TEXT(E41,"$#,##0.00"),TEXT(E41,"$#,##0.00")&amp;" – "&amp;TEXT(F41,"$#,##0.00")))</f>
        <v>$228.66</v>
      </c>
      <c r="H41" s="5" t="s">
        <v>1611</v>
      </c>
      <c r="I41" s="5" t="s">
        <v>776</v>
      </c>
    </row>
    <row r="42" customFormat="false" ht="15" hidden="false" customHeight="false" outlineLevel="0" collapsed="false">
      <c r="A42" s="5" t="s">
        <v>1087</v>
      </c>
      <c r="B42" s="5"/>
      <c r="C42" s="5" t="n">
        <f aca="false">COUNTIF('Observed lines'!$F$2:$F$36,A42)</f>
        <v>0</v>
      </c>
      <c r="D42" s="5" t="n">
        <f aca="false">COUNTIFS('Observed lines'!$F$2:$F$36,A42,'Observed lines'!$G$2:$G$36,"&lt;&gt;")</f>
        <v>0</v>
      </c>
      <c r="E42" s="8" t="str">
        <f aca="false">IF(D42=0,"",_xlfn.MINIFS('Observed lines'!$G$2:$G$36,'Observed lines'!$F$2:$F$36,A42))</f>
        <v/>
      </c>
      <c r="F42" s="8" t="str">
        <f aca="false">IF(D42=0,"",_xlfn.MAXIFS('Observed lines'!$G$2:$G$36,'Observed lines'!$F$2:$F$36,A42))</f>
        <v/>
      </c>
      <c r="G42" s="5" t="str">
        <f aca="false">IF(D42=0,"none seen",IF(E42=F42,TEXT(E42,"$#,##0.00"),TEXT(E42,"$#,##0.00")&amp;" – "&amp;TEXT(F42,"$#,##0.00")))</f>
        <v>none seen</v>
      </c>
      <c r="H42" s="5" t="s">
        <v>1610</v>
      </c>
      <c r="I42" s="5" t="s">
        <v>776</v>
      </c>
    </row>
    <row r="43" customFormat="false" ht="15" hidden="false" customHeight="false" outlineLevel="0" collapsed="false">
      <c r="A43" s="5" t="s">
        <v>1088</v>
      </c>
      <c r="B43" s="5"/>
      <c r="C43" s="5" t="n">
        <f aca="false">COUNTIF('Observed lines'!$F$2:$F$36,A43)</f>
        <v>0</v>
      </c>
      <c r="D43" s="5" t="n">
        <f aca="false">COUNTIFS('Observed lines'!$F$2:$F$36,A43,'Observed lines'!$G$2:$G$36,"&lt;&gt;")</f>
        <v>0</v>
      </c>
      <c r="E43" s="8" t="str">
        <f aca="false">IF(D43=0,"",_xlfn.MINIFS('Observed lines'!$G$2:$G$36,'Observed lines'!$F$2:$F$36,A43))</f>
        <v/>
      </c>
      <c r="F43" s="8" t="str">
        <f aca="false">IF(D43=0,"",_xlfn.MAXIFS('Observed lines'!$G$2:$G$36,'Observed lines'!$F$2:$F$36,A43))</f>
        <v/>
      </c>
      <c r="G43" s="5" t="str">
        <f aca="false">IF(D43=0,"none seen",IF(E43=F43,TEXT(E43,"$#,##0.00"),TEXT(E43,"$#,##0.00")&amp;" – "&amp;TEXT(F43,"$#,##0.00")))</f>
        <v>none seen</v>
      </c>
      <c r="H43" s="5" t="s">
        <v>1610</v>
      </c>
      <c r="I43" s="5" t="s">
        <v>776</v>
      </c>
    </row>
    <row r="44" customFormat="false" ht="15" hidden="false" customHeight="false" outlineLevel="0" collapsed="false">
      <c r="A44" s="5" t="s">
        <v>1089</v>
      </c>
      <c r="B44" s="5"/>
      <c r="C44" s="5" t="n">
        <f aca="false">COUNTIF('Observed lines'!$F$2:$F$36,A44)</f>
        <v>0</v>
      </c>
      <c r="D44" s="5" t="n">
        <f aca="false">COUNTIFS('Observed lines'!$F$2:$F$36,A44,'Observed lines'!$G$2:$G$36,"&lt;&gt;")</f>
        <v>0</v>
      </c>
      <c r="E44" s="8" t="str">
        <f aca="false">IF(D44=0,"",_xlfn.MINIFS('Observed lines'!$G$2:$G$36,'Observed lines'!$F$2:$F$36,A44))</f>
        <v/>
      </c>
      <c r="F44" s="8" t="str">
        <f aca="false">IF(D44=0,"",_xlfn.MAXIFS('Observed lines'!$G$2:$G$36,'Observed lines'!$F$2:$F$36,A44))</f>
        <v/>
      </c>
      <c r="G44" s="5" t="str">
        <f aca="false">IF(D44=0,"none seen",IF(E44=F44,TEXT(E44,"$#,##0.00"),TEXT(E44,"$#,##0.00")&amp;" – "&amp;TEXT(F44,"$#,##0.00")))</f>
        <v>none seen</v>
      </c>
      <c r="H44" s="5" t="s">
        <v>1610</v>
      </c>
      <c r="I44" s="5" t="s">
        <v>776</v>
      </c>
    </row>
    <row r="45" customFormat="false" ht="15" hidden="false" customHeight="false" outlineLevel="0" collapsed="false">
      <c r="A45" s="5" t="s">
        <v>1090</v>
      </c>
      <c r="B45" s="5"/>
      <c r="C45" s="5" t="n">
        <f aca="false">COUNTIF('Observed lines'!$F$2:$F$36,A45)</f>
        <v>0</v>
      </c>
      <c r="D45" s="5" t="n">
        <f aca="false">COUNTIFS('Observed lines'!$F$2:$F$36,A45,'Observed lines'!$G$2:$G$36,"&lt;&gt;")</f>
        <v>0</v>
      </c>
      <c r="E45" s="8" t="str">
        <f aca="false">IF(D45=0,"",_xlfn.MINIFS('Observed lines'!$G$2:$G$36,'Observed lines'!$F$2:$F$36,A45))</f>
        <v/>
      </c>
      <c r="F45" s="8" t="str">
        <f aca="false">IF(D45=0,"",_xlfn.MAXIFS('Observed lines'!$G$2:$G$36,'Observed lines'!$F$2:$F$36,A45))</f>
        <v/>
      </c>
      <c r="G45" s="5" t="str">
        <f aca="false">IF(D45=0,"none seen",IF(E45=F45,TEXT(E45,"$#,##0.00"),TEXT(E45,"$#,##0.00")&amp;" – "&amp;TEXT(F45,"$#,##0.00")))</f>
        <v>none seen</v>
      </c>
      <c r="H45" s="5" t="s">
        <v>1610</v>
      </c>
      <c r="I45" s="5" t="s">
        <v>776</v>
      </c>
    </row>
    <row r="46" customFormat="false" ht="15" hidden="false" customHeight="false" outlineLevel="0" collapsed="false">
      <c r="A46" s="5" t="s">
        <v>1091</v>
      </c>
      <c r="B46" s="5"/>
      <c r="C46" s="5" t="n">
        <f aca="false">COUNTIF('Observed lines'!$F$2:$F$36,A46)</f>
        <v>0</v>
      </c>
      <c r="D46" s="5" t="n">
        <f aca="false">COUNTIFS('Observed lines'!$F$2:$F$36,A46,'Observed lines'!$G$2:$G$36,"&lt;&gt;")</f>
        <v>0</v>
      </c>
      <c r="E46" s="8" t="str">
        <f aca="false">IF(D46=0,"",_xlfn.MINIFS('Observed lines'!$G$2:$G$36,'Observed lines'!$F$2:$F$36,A46))</f>
        <v/>
      </c>
      <c r="F46" s="8" t="str">
        <f aca="false">IF(D46=0,"",_xlfn.MAXIFS('Observed lines'!$G$2:$G$36,'Observed lines'!$F$2:$F$36,A46))</f>
        <v/>
      </c>
      <c r="G46" s="5" t="str">
        <f aca="false">IF(D46=0,"none seen",IF(E46=F46,TEXT(E46,"$#,##0.00"),TEXT(E46,"$#,##0.00")&amp;" – "&amp;TEXT(F46,"$#,##0.00")))</f>
        <v>none seen</v>
      </c>
      <c r="H46" s="5" t="s">
        <v>1610</v>
      </c>
      <c r="I46" s="5" t="s">
        <v>776</v>
      </c>
    </row>
    <row r="47" customFormat="false" ht="15" hidden="false" customHeight="false" outlineLevel="0" collapsed="false">
      <c r="A47" s="5" t="s">
        <v>1092</v>
      </c>
      <c r="B47" s="5"/>
      <c r="C47" s="5" t="n">
        <f aca="false">COUNTIF('Observed lines'!$F$2:$F$36,A47)</f>
        <v>0</v>
      </c>
      <c r="D47" s="5" t="n">
        <f aca="false">COUNTIFS('Observed lines'!$F$2:$F$36,A47,'Observed lines'!$G$2:$G$36,"&lt;&gt;")</f>
        <v>0</v>
      </c>
      <c r="E47" s="8" t="str">
        <f aca="false">IF(D47=0,"",_xlfn.MINIFS('Observed lines'!$G$2:$G$36,'Observed lines'!$F$2:$F$36,A47))</f>
        <v/>
      </c>
      <c r="F47" s="8" t="str">
        <f aca="false">IF(D47=0,"",_xlfn.MAXIFS('Observed lines'!$G$2:$G$36,'Observed lines'!$F$2:$F$36,A47))</f>
        <v/>
      </c>
      <c r="G47" s="5" t="str">
        <f aca="false">IF(D47=0,"none seen",IF(E47=F47,TEXT(E47,"$#,##0.00"),TEXT(E47,"$#,##0.00")&amp;" – "&amp;TEXT(F47,"$#,##0.00")))</f>
        <v>none seen</v>
      </c>
      <c r="H47" s="5" t="s">
        <v>1610</v>
      </c>
      <c r="I47" s="5" t="s">
        <v>776</v>
      </c>
    </row>
    <row r="48" customFormat="false" ht="15" hidden="false" customHeight="false" outlineLevel="0" collapsed="false">
      <c r="A48" s="5" t="s">
        <v>1093</v>
      </c>
      <c r="B48" s="5"/>
      <c r="C48" s="5" t="n">
        <f aca="false">COUNTIF('Observed lines'!$F$2:$F$36,A48)</f>
        <v>0</v>
      </c>
      <c r="D48" s="5" t="n">
        <f aca="false">COUNTIFS('Observed lines'!$F$2:$F$36,A48,'Observed lines'!$G$2:$G$36,"&lt;&gt;")</f>
        <v>0</v>
      </c>
      <c r="E48" s="8" t="str">
        <f aca="false">IF(D48=0,"",_xlfn.MINIFS('Observed lines'!$G$2:$G$36,'Observed lines'!$F$2:$F$36,A48))</f>
        <v/>
      </c>
      <c r="F48" s="8" t="str">
        <f aca="false">IF(D48=0,"",_xlfn.MAXIFS('Observed lines'!$G$2:$G$36,'Observed lines'!$F$2:$F$36,A48))</f>
        <v/>
      </c>
      <c r="G48" s="5" t="str">
        <f aca="false">IF(D48=0,"none seen",IF(E48=F48,TEXT(E48,"$#,##0.00"),TEXT(E48,"$#,##0.00")&amp;" – "&amp;TEXT(F48,"$#,##0.00")))</f>
        <v>none seen</v>
      </c>
      <c r="H48" s="5" t="s">
        <v>1610</v>
      </c>
      <c r="I48" s="5" t="s">
        <v>776</v>
      </c>
    </row>
    <row r="49" customFormat="false" ht="15" hidden="false" customHeight="false" outlineLevel="0" collapsed="false">
      <c r="A49" s="5" t="s">
        <v>1094</v>
      </c>
      <c r="B49" s="5"/>
      <c r="C49" s="5" t="n">
        <f aca="false">COUNTIF('Observed lines'!$F$2:$F$36,A49)</f>
        <v>0</v>
      </c>
      <c r="D49" s="5" t="n">
        <f aca="false">COUNTIFS('Observed lines'!$F$2:$F$36,A49,'Observed lines'!$G$2:$G$36,"&lt;&gt;")</f>
        <v>0</v>
      </c>
      <c r="E49" s="8" t="str">
        <f aca="false">IF(D49=0,"",_xlfn.MINIFS('Observed lines'!$G$2:$G$36,'Observed lines'!$F$2:$F$36,A49))</f>
        <v/>
      </c>
      <c r="F49" s="8" t="str">
        <f aca="false">IF(D49=0,"",_xlfn.MAXIFS('Observed lines'!$G$2:$G$36,'Observed lines'!$F$2:$F$36,A49))</f>
        <v/>
      </c>
      <c r="G49" s="5" t="str">
        <f aca="false">IF(D49=0,"none seen",IF(E49=F49,TEXT(E49,"$#,##0.00"),TEXT(E49,"$#,##0.00")&amp;" – "&amp;TEXT(F49,"$#,##0.00")))</f>
        <v>none seen</v>
      </c>
      <c r="H49" s="5" t="s">
        <v>1610</v>
      </c>
      <c r="I49" s="5" t="s">
        <v>776</v>
      </c>
    </row>
    <row r="50" customFormat="false" ht="15" hidden="false" customHeight="false" outlineLevel="0" collapsed="false">
      <c r="A50" s="5" t="s">
        <v>1095</v>
      </c>
      <c r="B50" s="5"/>
      <c r="C50" s="5" t="n">
        <f aca="false">COUNTIF('Observed lines'!$F$2:$F$36,A50)</f>
        <v>0</v>
      </c>
      <c r="D50" s="5" t="n">
        <f aca="false">COUNTIFS('Observed lines'!$F$2:$F$36,A50,'Observed lines'!$G$2:$G$36,"&lt;&gt;")</f>
        <v>0</v>
      </c>
      <c r="E50" s="8" t="str">
        <f aca="false">IF(D50=0,"",_xlfn.MINIFS('Observed lines'!$G$2:$G$36,'Observed lines'!$F$2:$F$36,A50))</f>
        <v/>
      </c>
      <c r="F50" s="8" t="str">
        <f aca="false">IF(D50=0,"",_xlfn.MAXIFS('Observed lines'!$G$2:$G$36,'Observed lines'!$F$2:$F$36,A50))</f>
        <v/>
      </c>
      <c r="G50" s="5" t="str">
        <f aca="false">IF(D50=0,"none seen",IF(E50=F50,TEXT(E50,"$#,##0.00"),TEXT(E50,"$#,##0.00")&amp;" – "&amp;TEXT(F50,"$#,##0.00")))</f>
        <v>none seen</v>
      </c>
      <c r="H50" s="5" t="s">
        <v>1610</v>
      </c>
      <c r="I50" s="5" t="s">
        <v>776</v>
      </c>
    </row>
    <row r="51" customFormat="false" ht="15" hidden="false" customHeight="false" outlineLevel="0" collapsed="false">
      <c r="A51" s="5" t="s">
        <v>1096</v>
      </c>
      <c r="B51" s="5"/>
      <c r="C51" s="5" t="n">
        <f aca="false">COUNTIF('Observed lines'!$F$2:$F$36,A51)</f>
        <v>0</v>
      </c>
      <c r="D51" s="5" t="n">
        <f aca="false">COUNTIFS('Observed lines'!$F$2:$F$36,A51,'Observed lines'!$G$2:$G$36,"&lt;&gt;")</f>
        <v>0</v>
      </c>
      <c r="E51" s="8" t="str">
        <f aca="false">IF(D51=0,"",_xlfn.MINIFS('Observed lines'!$G$2:$G$36,'Observed lines'!$F$2:$F$36,A51))</f>
        <v/>
      </c>
      <c r="F51" s="8" t="str">
        <f aca="false">IF(D51=0,"",_xlfn.MAXIFS('Observed lines'!$G$2:$G$36,'Observed lines'!$F$2:$F$36,A51))</f>
        <v/>
      </c>
      <c r="G51" s="5" t="str">
        <f aca="false">IF(D51=0,"none seen",IF(E51=F51,TEXT(E51,"$#,##0.00"),TEXT(E51,"$#,##0.00")&amp;" – "&amp;TEXT(F51,"$#,##0.00")))</f>
        <v>none seen</v>
      </c>
      <c r="H51" s="5" t="s">
        <v>1610</v>
      </c>
      <c r="I51" s="5" t="s">
        <v>776</v>
      </c>
    </row>
    <row r="52" customFormat="false" ht="15" hidden="false" customHeight="false" outlineLevel="0" collapsed="false">
      <c r="A52" s="5" t="s">
        <v>1097</v>
      </c>
      <c r="B52" s="5"/>
      <c r="C52" s="5" t="n">
        <f aca="false">COUNTIF('Observed lines'!$F$2:$F$36,A52)</f>
        <v>0</v>
      </c>
      <c r="D52" s="5" t="n">
        <f aca="false">COUNTIFS('Observed lines'!$F$2:$F$36,A52,'Observed lines'!$G$2:$G$36,"&lt;&gt;")</f>
        <v>0</v>
      </c>
      <c r="E52" s="8" t="str">
        <f aca="false">IF(D52=0,"",_xlfn.MINIFS('Observed lines'!$G$2:$G$36,'Observed lines'!$F$2:$F$36,A52))</f>
        <v/>
      </c>
      <c r="F52" s="8" t="str">
        <f aca="false">IF(D52=0,"",_xlfn.MAXIFS('Observed lines'!$G$2:$G$36,'Observed lines'!$F$2:$F$36,A52))</f>
        <v/>
      </c>
      <c r="G52" s="5" t="str">
        <f aca="false">IF(D52=0,"none seen",IF(E52=F52,TEXT(E52,"$#,##0.00"),TEXT(E52,"$#,##0.00")&amp;" – "&amp;TEXT(F52,"$#,##0.00")))</f>
        <v>none seen</v>
      </c>
      <c r="H52" s="5" t="s">
        <v>1610</v>
      </c>
      <c r="I52" s="5" t="s">
        <v>776</v>
      </c>
    </row>
    <row r="53" customFormat="false" ht="15" hidden="false" customHeight="false" outlineLevel="0" collapsed="false">
      <c r="A53" s="5" t="s">
        <v>1098</v>
      </c>
      <c r="B53" s="5"/>
      <c r="C53" s="5" t="n">
        <f aca="false">COUNTIF('Observed lines'!$F$2:$F$36,A53)</f>
        <v>0</v>
      </c>
      <c r="D53" s="5" t="n">
        <f aca="false">COUNTIFS('Observed lines'!$F$2:$F$36,A53,'Observed lines'!$G$2:$G$36,"&lt;&gt;")</f>
        <v>0</v>
      </c>
      <c r="E53" s="8" t="str">
        <f aca="false">IF(D53=0,"",_xlfn.MINIFS('Observed lines'!$G$2:$G$36,'Observed lines'!$F$2:$F$36,A53))</f>
        <v/>
      </c>
      <c r="F53" s="8" t="str">
        <f aca="false">IF(D53=0,"",_xlfn.MAXIFS('Observed lines'!$G$2:$G$36,'Observed lines'!$F$2:$F$36,A53))</f>
        <v/>
      </c>
      <c r="G53" s="5" t="str">
        <f aca="false">IF(D53=0,"none seen",IF(E53=F53,TEXT(E53,"$#,##0.00"),TEXT(E53,"$#,##0.00")&amp;" – "&amp;TEXT(F53,"$#,##0.00")))</f>
        <v>none seen</v>
      </c>
      <c r="H53" s="5" t="s">
        <v>1610</v>
      </c>
      <c r="I53" s="5" t="s">
        <v>776</v>
      </c>
    </row>
    <row r="54" customFormat="false" ht="15" hidden="false" customHeight="false" outlineLevel="0" collapsed="false">
      <c r="A54" s="5" t="s">
        <v>1099</v>
      </c>
      <c r="B54" s="5"/>
      <c r="C54" s="5" t="n">
        <f aca="false">COUNTIF('Observed lines'!$F$2:$F$36,A54)</f>
        <v>0</v>
      </c>
      <c r="D54" s="5" t="n">
        <f aca="false">COUNTIFS('Observed lines'!$F$2:$F$36,A54,'Observed lines'!$G$2:$G$36,"&lt;&gt;")</f>
        <v>0</v>
      </c>
      <c r="E54" s="8" t="str">
        <f aca="false">IF(D54=0,"",_xlfn.MINIFS('Observed lines'!$G$2:$G$36,'Observed lines'!$F$2:$F$36,A54))</f>
        <v/>
      </c>
      <c r="F54" s="8" t="str">
        <f aca="false">IF(D54=0,"",_xlfn.MAXIFS('Observed lines'!$G$2:$G$36,'Observed lines'!$F$2:$F$36,A54))</f>
        <v/>
      </c>
      <c r="G54" s="5" t="str">
        <f aca="false">IF(D54=0,"none seen",IF(E54=F54,TEXT(E54,"$#,##0.00"),TEXT(E54,"$#,##0.00")&amp;" – "&amp;TEXT(F54,"$#,##0.00")))</f>
        <v>none seen</v>
      </c>
      <c r="H54" s="5" t="s">
        <v>1610</v>
      </c>
      <c r="I54" s="5" t="s">
        <v>776</v>
      </c>
    </row>
    <row r="55" customFormat="false" ht="15" hidden="false" customHeight="false" outlineLevel="0" collapsed="false">
      <c r="A55" s="5" t="s">
        <v>1100</v>
      </c>
      <c r="B55" s="5"/>
      <c r="C55" s="5" t="n">
        <f aca="false">COUNTIF('Observed lines'!$F$2:$F$36,A55)</f>
        <v>0</v>
      </c>
      <c r="D55" s="5" t="n">
        <f aca="false">COUNTIFS('Observed lines'!$F$2:$F$36,A55,'Observed lines'!$G$2:$G$36,"&lt;&gt;")</f>
        <v>0</v>
      </c>
      <c r="E55" s="8" t="str">
        <f aca="false">IF(D55=0,"",_xlfn.MINIFS('Observed lines'!$G$2:$G$36,'Observed lines'!$F$2:$F$36,A55))</f>
        <v/>
      </c>
      <c r="F55" s="8" t="str">
        <f aca="false">IF(D55=0,"",_xlfn.MAXIFS('Observed lines'!$G$2:$G$36,'Observed lines'!$F$2:$F$36,A55))</f>
        <v/>
      </c>
      <c r="G55" s="5" t="str">
        <f aca="false">IF(D55=0,"none seen",IF(E55=F55,TEXT(E55,"$#,##0.00"),TEXT(E55,"$#,##0.00")&amp;" – "&amp;TEXT(F55,"$#,##0.00")))</f>
        <v>none seen</v>
      </c>
      <c r="H55" s="5" t="s">
        <v>1610</v>
      </c>
      <c r="I55" s="5" t="s">
        <v>776</v>
      </c>
    </row>
    <row r="56" customFormat="false" ht="15" hidden="false" customHeight="false" outlineLevel="0" collapsed="false">
      <c r="A56" s="5" t="s">
        <v>1101</v>
      </c>
      <c r="B56" s="5"/>
      <c r="C56" s="5" t="n">
        <f aca="false">COUNTIF('Observed lines'!$F$2:$F$36,A56)</f>
        <v>0</v>
      </c>
      <c r="D56" s="5" t="n">
        <f aca="false">COUNTIFS('Observed lines'!$F$2:$F$36,A56,'Observed lines'!$G$2:$G$36,"&lt;&gt;")</f>
        <v>0</v>
      </c>
      <c r="E56" s="8" t="str">
        <f aca="false">IF(D56=0,"",_xlfn.MINIFS('Observed lines'!$G$2:$G$36,'Observed lines'!$F$2:$F$36,A56))</f>
        <v/>
      </c>
      <c r="F56" s="8" t="str">
        <f aca="false">IF(D56=0,"",_xlfn.MAXIFS('Observed lines'!$G$2:$G$36,'Observed lines'!$F$2:$F$36,A56))</f>
        <v/>
      </c>
      <c r="G56" s="5" t="str">
        <f aca="false">IF(D56=0,"none seen",IF(E56=F56,TEXT(E56,"$#,##0.00"),TEXT(E56,"$#,##0.00")&amp;" – "&amp;TEXT(F56,"$#,##0.00")))</f>
        <v>none seen</v>
      </c>
      <c r="H56" s="5" t="s">
        <v>1610</v>
      </c>
      <c r="I56" s="5" t="s">
        <v>776</v>
      </c>
    </row>
    <row r="57" customFormat="false" ht="15" hidden="false" customHeight="false" outlineLevel="0" collapsed="false">
      <c r="A57" s="5" t="s">
        <v>1102</v>
      </c>
      <c r="B57" s="5"/>
      <c r="C57" s="5" t="n">
        <f aca="false">COUNTIF('Observed lines'!$F$2:$F$36,A57)</f>
        <v>0</v>
      </c>
      <c r="D57" s="5" t="n">
        <f aca="false">COUNTIFS('Observed lines'!$F$2:$F$36,A57,'Observed lines'!$G$2:$G$36,"&lt;&gt;")</f>
        <v>0</v>
      </c>
      <c r="E57" s="8" t="str">
        <f aca="false">IF(D57=0,"",_xlfn.MINIFS('Observed lines'!$G$2:$G$36,'Observed lines'!$F$2:$F$36,A57))</f>
        <v/>
      </c>
      <c r="F57" s="8" t="str">
        <f aca="false">IF(D57=0,"",_xlfn.MAXIFS('Observed lines'!$G$2:$G$36,'Observed lines'!$F$2:$F$36,A57))</f>
        <v/>
      </c>
      <c r="G57" s="5" t="str">
        <f aca="false">IF(D57=0,"none seen",IF(E57=F57,TEXT(E57,"$#,##0.00"),TEXT(E57,"$#,##0.00")&amp;" – "&amp;TEXT(F57,"$#,##0.00")))</f>
        <v>none seen</v>
      </c>
      <c r="H57" s="5" t="s">
        <v>1610</v>
      </c>
      <c r="I57" s="5" t="s">
        <v>776</v>
      </c>
    </row>
    <row r="58" customFormat="false" ht="15" hidden="false" customHeight="false" outlineLevel="0" collapsed="false">
      <c r="A58" s="5" t="s">
        <v>1103</v>
      </c>
      <c r="B58" s="5"/>
      <c r="C58" s="5" t="n">
        <f aca="false">COUNTIF('Observed lines'!$F$2:$F$36,A58)</f>
        <v>0</v>
      </c>
      <c r="D58" s="5" t="n">
        <f aca="false">COUNTIFS('Observed lines'!$F$2:$F$36,A58,'Observed lines'!$G$2:$G$36,"&lt;&gt;")</f>
        <v>0</v>
      </c>
      <c r="E58" s="8" t="str">
        <f aca="false">IF(D58=0,"",_xlfn.MINIFS('Observed lines'!$G$2:$G$36,'Observed lines'!$F$2:$F$36,A58))</f>
        <v/>
      </c>
      <c r="F58" s="8" t="str">
        <f aca="false">IF(D58=0,"",_xlfn.MAXIFS('Observed lines'!$G$2:$G$36,'Observed lines'!$F$2:$F$36,A58))</f>
        <v/>
      </c>
      <c r="G58" s="5" t="str">
        <f aca="false">IF(D58=0,"none seen",IF(E58=F58,TEXT(E58,"$#,##0.00"),TEXT(E58,"$#,##0.00")&amp;" – "&amp;TEXT(F58,"$#,##0.00")))</f>
        <v>none seen</v>
      </c>
      <c r="H58" s="5" t="s">
        <v>1610</v>
      </c>
      <c r="I58" s="5" t="s">
        <v>776</v>
      </c>
    </row>
    <row r="59" customFormat="false" ht="15" hidden="false" customHeight="false" outlineLevel="0" collapsed="false">
      <c r="A59" s="5" t="s">
        <v>1104</v>
      </c>
      <c r="B59" s="5" t="s">
        <v>1105</v>
      </c>
      <c r="C59" s="5" t="n">
        <f aca="false">COUNTIF('Observed lines'!$F$2:$F$36,A59)</f>
        <v>1</v>
      </c>
      <c r="D59" s="5" t="n">
        <f aca="false">COUNTIFS('Observed lines'!$F$2:$F$36,A59,'Observed lines'!$G$2:$G$36,"&lt;&gt;")</f>
        <v>0</v>
      </c>
      <c r="E59" s="8" t="str">
        <f aca="false">IF(D59=0,"",_xlfn.MINIFS('Observed lines'!$G$2:$G$36,'Observed lines'!$F$2:$F$36,A59))</f>
        <v/>
      </c>
      <c r="F59" s="8" t="str">
        <f aca="false">IF(D59=0,"",_xlfn.MAXIFS('Observed lines'!$G$2:$G$36,'Observed lines'!$F$2:$F$36,A59))</f>
        <v/>
      </c>
      <c r="G59" s="5" t="str">
        <f aca="false">IF(D59=0,"none seen",IF(E59=F59,TEXT(E59,"$#,##0.00"),TEXT(E59,"$#,##0.00")&amp;" – "&amp;TEXT(F59,"$#,##0.00")))</f>
        <v>none seen</v>
      </c>
      <c r="H59" s="5" t="s">
        <v>1611</v>
      </c>
      <c r="I59" s="5" t="s">
        <v>776</v>
      </c>
    </row>
    <row r="60" customFormat="false" ht="15" hidden="false" customHeight="false" outlineLevel="0" collapsed="false">
      <c r="A60" s="5" t="s">
        <v>1107</v>
      </c>
      <c r="B60" s="5"/>
      <c r="C60" s="5" t="n">
        <f aca="false">COUNTIF('Observed lines'!$F$2:$F$36,A60)</f>
        <v>0</v>
      </c>
      <c r="D60" s="5" t="n">
        <f aca="false">COUNTIFS('Observed lines'!$F$2:$F$36,A60,'Observed lines'!$G$2:$G$36,"&lt;&gt;")</f>
        <v>0</v>
      </c>
      <c r="E60" s="8" t="str">
        <f aca="false">IF(D60=0,"",_xlfn.MINIFS('Observed lines'!$G$2:$G$36,'Observed lines'!$F$2:$F$36,A60))</f>
        <v/>
      </c>
      <c r="F60" s="8" t="str">
        <f aca="false">IF(D60=0,"",_xlfn.MAXIFS('Observed lines'!$G$2:$G$36,'Observed lines'!$F$2:$F$36,A60))</f>
        <v/>
      </c>
      <c r="G60" s="5" t="str">
        <f aca="false">IF(D60=0,"none seen",IF(E60=F60,TEXT(E60,"$#,##0.00"),TEXT(E60,"$#,##0.00")&amp;" – "&amp;TEXT(F60,"$#,##0.00")))</f>
        <v>none seen</v>
      </c>
      <c r="H60" s="5" t="s">
        <v>1610</v>
      </c>
      <c r="I60" s="5" t="s">
        <v>776</v>
      </c>
    </row>
    <row r="61" customFormat="false" ht="15" hidden="false" customHeight="false" outlineLevel="0" collapsed="false">
      <c r="A61" s="5" t="s">
        <v>1108</v>
      </c>
      <c r="B61" s="5" t="s">
        <v>1109</v>
      </c>
      <c r="C61" s="5" t="n">
        <f aca="false">COUNTIF('Observed lines'!$F$2:$F$36,A61)</f>
        <v>1</v>
      </c>
      <c r="D61" s="5" t="n">
        <f aca="false">COUNTIFS('Observed lines'!$F$2:$F$36,A61,'Observed lines'!$G$2:$G$36,"&lt;&gt;")</f>
        <v>0</v>
      </c>
      <c r="E61" s="8" t="str">
        <f aca="false">IF(D61=0,"",_xlfn.MINIFS('Observed lines'!$G$2:$G$36,'Observed lines'!$F$2:$F$36,A61))</f>
        <v/>
      </c>
      <c r="F61" s="8" t="str">
        <f aca="false">IF(D61=0,"",_xlfn.MAXIFS('Observed lines'!$G$2:$G$36,'Observed lines'!$F$2:$F$36,A61))</f>
        <v/>
      </c>
      <c r="G61" s="5" t="str">
        <f aca="false">IF(D61=0,"none seen",IF(E61=F61,TEXT(E61,"$#,##0.00"),TEXT(E61,"$#,##0.00")&amp;" – "&amp;TEXT(F61,"$#,##0.00")))</f>
        <v>none seen</v>
      </c>
      <c r="H61" s="5" t="s">
        <v>1611</v>
      </c>
      <c r="I61" s="5" t="s">
        <v>776</v>
      </c>
    </row>
    <row r="62" customFormat="false" ht="15" hidden="false" customHeight="false" outlineLevel="0" collapsed="false">
      <c r="A62" s="5" t="s">
        <v>1111</v>
      </c>
      <c r="B62" s="5" t="s">
        <v>1112</v>
      </c>
      <c r="C62" s="5" t="n">
        <f aca="false">COUNTIF('Observed lines'!$F$2:$F$36,A62)</f>
        <v>1</v>
      </c>
      <c r="D62" s="5" t="n">
        <f aca="false">COUNTIFS('Observed lines'!$F$2:$F$36,A62,'Observed lines'!$G$2:$G$36,"&lt;&gt;")</f>
        <v>0</v>
      </c>
      <c r="E62" s="8" t="str">
        <f aca="false">IF(D62=0,"",_xlfn.MINIFS('Observed lines'!$G$2:$G$36,'Observed lines'!$F$2:$F$36,A62))</f>
        <v/>
      </c>
      <c r="F62" s="8" t="str">
        <f aca="false">IF(D62=0,"",_xlfn.MAXIFS('Observed lines'!$G$2:$G$36,'Observed lines'!$F$2:$F$36,A62))</f>
        <v/>
      </c>
      <c r="G62" s="5" t="str">
        <f aca="false">IF(D62=0,"none seen",IF(E62=F62,TEXT(E62,"$#,##0.00"),TEXT(E62,"$#,##0.00")&amp;" – "&amp;TEXT(F62,"$#,##0.00")))</f>
        <v>none seen</v>
      </c>
      <c r="H62" s="5" t="s">
        <v>1611</v>
      </c>
      <c r="I62" s="5" t="s">
        <v>776</v>
      </c>
    </row>
    <row r="63" customFormat="false" ht="15" hidden="false" customHeight="false" outlineLevel="0" collapsed="false">
      <c r="A63" s="5" t="s">
        <v>1114</v>
      </c>
      <c r="B63" s="5" t="s">
        <v>1115</v>
      </c>
      <c r="C63" s="5" t="n">
        <f aca="false">COUNTIF('Observed lines'!$F$2:$F$36,A63)</f>
        <v>1</v>
      </c>
      <c r="D63" s="5" t="n">
        <f aca="false">COUNTIFS('Observed lines'!$F$2:$F$36,A63,'Observed lines'!$G$2:$G$36,"&lt;&gt;")</f>
        <v>0</v>
      </c>
      <c r="E63" s="8" t="str">
        <f aca="false">IF(D63=0,"",_xlfn.MINIFS('Observed lines'!$G$2:$G$36,'Observed lines'!$F$2:$F$36,A63))</f>
        <v/>
      </c>
      <c r="F63" s="8" t="str">
        <f aca="false">IF(D63=0,"",_xlfn.MAXIFS('Observed lines'!$G$2:$G$36,'Observed lines'!$F$2:$F$36,A63))</f>
        <v/>
      </c>
      <c r="G63" s="5" t="str">
        <f aca="false">IF(D63=0,"none seen",IF(E63=F63,TEXT(E63,"$#,##0.00"),TEXT(E63,"$#,##0.00")&amp;" – "&amp;TEXT(F63,"$#,##0.00")))</f>
        <v>none seen</v>
      </c>
      <c r="H63" s="5" t="s">
        <v>1611</v>
      </c>
      <c r="I63" s="5" t="s">
        <v>776</v>
      </c>
    </row>
    <row r="64" customFormat="false" ht="15" hidden="false" customHeight="false" outlineLevel="0" collapsed="false">
      <c r="A64" s="5" t="s">
        <v>1117</v>
      </c>
      <c r="B64" s="5" t="s">
        <v>1118</v>
      </c>
      <c r="C64" s="5" t="n">
        <f aca="false">COUNTIF('Observed lines'!$F$2:$F$36,A64)</f>
        <v>1</v>
      </c>
      <c r="D64" s="5" t="n">
        <f aca="false">COUNTIFS('Observed lines'!$F$2:$F$36,A64,'Observed lines'!$G$2:$G$36,"&lt;&gt;")</f>
        <v>0</v>
      </c>
      <c r="E64" s="8" t="str">
        <f aca="false">IF(D64=0,"",_xlfn.MINIFS('Observed lines'!$G$2:$G$36,'Observed lines'!$F$2:$F$36,A64))</f>
        <v/>
      </c>
      <c r="F64" s="8" t="str">
        <f aca="false">IF(D64=0,"",_xlfn.MAXIFS('Observed lines'!$G$2:$G$36,'Observed lines'!$F$2:$F$36,A64))</f>
        <v/>
      </c>
      <c r="G64" s="5" t="str">
        <f aca="false">IF(D64=0,"none seen",IF(E64=F64,TEXT(E64,"$#,##0.00"),TEXT(E64,"$#,##0.00")&amp;" – "&amp;TEXT(F64,"$#,##0.00")))</f>
        <v>none seen</v>
      </c>
      <c r="H64" s="5" t="s">
        <v>1611</v>
      </c>
      <c r="I64" s="5" t="s">
        <v>776</v>
      </c>
    </row>
    <row r="65" customFormat="false" ht="15" hidden="false" customHeight="false" outlineLevel="0" collapsed="false">
      <c r="A65" s="5" t="s">
        <v>1120</v>
      </c>
      <c r="B65" s="5" t="s">
        <v>1121</v>
      </c>
      <c r="C65" s="5" t="n">
        <f aca="false">COUNTIF('Observed lines'!$F$2:$F$36,A65)</f>
        <v>1</v>
      </c>
      <c r="D65" s="5" t="n">
        <f aca="false">COUNTIFS('Observed lines'!$F$2:$F$36,A65,'Observed lines'!$G$2:$G$36,"&lt;&gt;")</f>
        <v>0</v>
      </c>
      <c r="E65" s="8" t="str">
        <f aca="false">IF(D65=0,"",_xlfn.MINIFS('Observed lines'!$G$2:$G$36,'Observed lines'!$F$2:$F$36,A65))</f>
        <v/>
      </c>
      <c r="F65" s="8" t="str">
        <f aca="false">IF(D65=0,"",_xlfn.MAXIFS('Observed lines'!$G$2:$G$36,'Observed lines'!$F$2:$F$36,A65))</f>
        <v/>
      </c>
      <c r="G65" s="5" t="str">
        <f aca="false">IF(D65=0,"none seen",IF(E65=F65,TEXT(E65,"$#,##0.00"),TEXT(E65,"$#,##0.00")&amp;" – "&amp;TEXT(F65,"$#,##0.00")))</f>
        <v>none seen</v>
      </c>
      <c r="H65" s="5" t="s">
        <v>1611</v>
      </c>
      <c r="I65" s="5" t="s">
        <v>776</v>
      </c>
    </row>
    <row r="66" customFormat="false" ht="15" hidden="false" customHeight="false" outlineLevel="0" collapsed="false">
      <c r="A66" s="5" t="s">
        <v>1123</v>
      </c>
      <c r="B66" s="5"/>
      <c r="C66" s="5" t="n">
        <f aca="false">COUNTIF('Observed lines'!$F$2:$F$36,A66)</f>
        <v>0</v>
      </c>
      <c r="D66" s="5" t="n">
        <f aca="false">COUNTIFS('Observed lines'!$F$2:$F$36,A66,'Observed lines'!$G$2:$G$36,"&lt;&gt;")</f>
        <v>0</v>
      </c>
      <c r="E66" s="8" t="str">
        <f aca="false">IF(D66=0,"",_xlfn.MINIFS('Observed lines'!$G$2:$G$36,'Observed lines'!$F$2:$F$36,A66))</f>
        <v/>
      </c>
      <c r="F66" s="8" t="str">
        <f aca="false">IF(D66=0,"",_xlfn.MAXIFS('Observed lines'!$G$2:$G$36,'Observed lines'!$F$2:$F$36,A66))</f>
        <v/>
      </c>
      <c r="G66" s="5" t="str">
        <f aca="false">IF(D66=0,"none seen",IF(E66=F66,TEXT(E66,"$#,##0.00"),TEXT(E66,"$#,##0.00")&amp;" – "&amp;TEXT(F66,"$#,##0.00")))</f>
        <v>none seen</v>
      </c>
      <c r="H66" s="5" t="s">
        <v>1610</v>
      </c>
      <c r="I66" s="5" t="s">
        <v>776</v>
      </c>
    </row>
    <row r="67" customFormat="false" ht="15" hidden="false" customHeight="false" outlineLevel="0" collapsed="false">
      <c r="A67" s="5" t="s">
        <v>1124</v>
      </c>
      <c r="B67" s="5"/>
      <c r="C67" s="5" t="n">
        <f aca="false">COUNTIF('Observed lines'!$F$2:$F$36,A67)</f>
        <v>0</v>
      </c>
      <c r="D67" s="5" t="n">
        <f aca="false">COUNTIFS('Observed lines'!$F$2:$F$36,A67,'Observed lines'!$G$2:$G$36,"&lt;&gt;")</f>
        <v>0</v>
      </c>
      <c r="E67" s="8" t="str">
        <f aca="false">IF(D67=0,"",_xlfn.MINIFS('Observed lines'!$G$2:$G$36,'Observed lines'!$F$2:$F$36,A67))</f>
        <v/>
      </c>
      <c r="F67" s="8" t="str">
        <f aca="false">IF(D67=0,"",_xlfn.MAXIFS('Observed lines'!$G$2:$G$36,'Observed lines'!$F$2:$F$36,A67))</f>
        <v/>
      </c>
      <c r="G67" s="5" t="str">
        <f aca="false">IF(D67=0,"none seen",IF(E67=F67,TEXT(E67,"$#,##0.00"),TEXT(E67,"$#,##0.00")&amp;" – "&amp;TEXT(F67,"$#,##0.00")))</f>
        <v>none seen</v>
      </c>
      <c r="H67" s="5" t="s">
        <v>1610</v>
      </c>
      <c r="I67" s="5" t="s">
        <v>776</v>
      </c>
    </row>
    <row r="68" customFormat="false" ht="15" hidden="false" customHeight="false" outlineLevel="0" collapsed="false">
      <c r="A68" s="5" t="s">
        <v>1125</v>
      </c>
      <c r="B68" s="5"/>
      <c r="C68" s="5" t="n">
        <f aca="false">COUNTIF('Observed lines'!$F$2:$F$36,A68)</f>
        <v>0</v>
      </c>
      <c r="D68" s="5" t="n">
        <f aca="false">COUNTIFS('Observed lines'!$F$2:$F$36,A68,'Observed lines'!$G$2:$G$36,"&lt;&gt;")</f>
        <v>0</v>
      </c>
      <c r="E68" s="8" t="str">
        <f aca="false">IF(D68=0,"",_xlfn.MINIFS('Observed lines'!$G$2:$G$36,'Observed lines'!$F$2:$F$36,A68))</f>
        <v/>
      </c>
      <c r="F68" s="8" t="str">
        <f aca="false">IF(D68=0,"",_xlfn.MAXIFS('Observed lines'!$G$2:$G$36,'Observed lines'!$F$2:$F$36,A68))</f>
        <v/>
      </c>
      <c r="G68" s="5" t="str">
        <f aca="false">IF(D68=0,"none seen",IF(E68=F68,TEXT(E68,"$#,##0.00"),TEXT(E68,"$#,##0.00")&amp;" – "&amp;TEXT(F68,"$#,##0.00")))</f>
        <v>none seen</v>
      </c>
      <c r="H68" s="5" t="s">
        <v>1610</v>
      </c>
      <c r="I68" s="5" t="s">
        <v>776</v>
      </c>
    </row>
    <row r="69" customFormat="false" ht="15" hidden="false" customHeight="false" outlineLevel="0" collapsed="false">
      <c r="A69" s="5" t="s">
        <v>1126</v>
      </c>
      <c r="B69" s="5" t="s">
        <v>1127</v>
      </c>
      <c r="C69" s="5" t="n">
        <f aca="false">COUNTIF('Observed lines'!$F$2:$F$36,A69)</f>
        <v>1</v>
      </c>
      <c r="D69" s="5" t="n">
        <f aca="false">COUNTIFS('Observed lines'!$F$2:$F$36,A69,'Observed lines'!$G$2:$G$36,"&lt;&gt;")</f>
        <v>1</v>
      </c>
      <c r="E69" s="8" t="n">
        <f aca="false">IF(D69=0,"",_xlfn.MINIFS('Observed lines'!$G$2:$G$36,'Observed lines'!$F$2:$F$36,A69))</f>
        <v>9.11</v>
      </c>
      <c r="F69" s="8" t="n">
        <f aca="false">IF(D69=0,"",_xlfn.MAXIFS('Observed lines'!$G$2:$G$36,'Observed lines'!$F$2:$F$36,A69))</f>
        <v>9.11</v>
      </c>
      <c r="G69" s="5" t="str">
        <f aca="false">IF(D69=0,"none seen",IF(E69=F69,TEXT(E69,"$#,##0.00"),TEXT(E69,"$#,##0.00")&amp;" – "&amp;TEXT(F69,"$#,##0.00")))</f>
        <v>$9.11</v>
      </c>
      <c r="H69" s="5" t="s">
        <v>1611</v>
      </c>
      <c r="I69" s="5" t="s">
        <v>776</v>
      </c>
    </row>
    <row r="70" customFormat="false" ht="15" hidden="false" customHeight="false" outlineLevel="0" collapsed="false">
      <c r="A70" s="5" t="s">
        <v>1129</v>
      </c>
      <c r="B70" s="5"/>
      <c r="C70" s="5" t="n">
        <f aca="false">COUNTIF('Observed lines'!$F$2:$F$36,A70)</f>
        <v>0</v>
      </c>
      <c r="D70" s="5" t="n">
        <f aca="false">COUNTIFS('Observed lines'!$F$2:$F$36,A70,'Observed lines'!$G$2:$G$36,"&lt;&gt;")</f>
        <v>0</v>
      </c>
      <c r="E70" s="8" t="str">
        <f aca="false">IF(D70=0,"",_xlfn.MINIFS('Observed lines'!$G$2:$G$36,'Observed lines'!$F$2:$F$36,A70))</f>
        <v/>
      </c>
      <c r="F70" s="8" t="str">
        <f aca="false">IF(D70=0,"",_xlfn.MAXIFS('Observed lines'!$G$2:$G$36,'Observed lines'!$F$2:$F$36,A70))</f>
        <v/>
      </c>
      <c r="G70" s="5" t="str">
        <f aca="false">IF(D70=0,"none seen",IF(E70=F70,TEXT(E70,"$#,##0.00"),TEXT(E70,"$#,##0.00")&amp;" – "&amp;TEXT(F70,"$#,##0.00")))</f>
        <v>none seen</v>
      </c>
      <c r="H70" s="5" t="s">
        <v>1610</v>
      </c>
      <c r="I70" s="5" t="s">
        <v>776</v>
      </c>
    </row>
    <row r="71" customFormat="false" ht="15" hidden="false" customHeight="false" outlineLevel="0" collapsed="false">
      <c r="A71" s="5" t="s">
        <v>1130</v>
      </c>
      <c r="B71" s="5"/>
      <c r="C71" s="5" t="n">
        <f aca="false">COUNTIF('Observed lines'!$F$2:$F$36,A71)</f>
        <v>0</v>
      </c>
      <c r="D71" s="5" t="n">
        <f aca="false">COUNTIFS('Observed lines'!$F$2:$F$36,A71,'Observed lines'!$G$2:$G$36,"&lt;&gt;")</f>
        <v>0</v>
      </c>
      <c r="E71" s="8" t="str">
        <f aca="false">IF(D71=0,"",_xlfn.MINIFS('Observed lines'!$G$2:$G$36,'Observed lines'!$F$2:$F$36,A71))</f>
        <v/>
      </c>
      <c r="F71" s="8" t="str">
        <f aca="false">IF(D71=0,"",_xlfn.MAXIFS('Observed lines'!$G$2:$G$36,'Observed lines'!$F$2:$F$36,A71))</f>
        <v/>
      </c>
      <c r="G71" s="5" t="str">
        <f aca="false">IF(D71=0,"none seen",IF(E71=F71,TEXT(E71,"$#,##0.00"),TEXT(E71,"$#,##0.00")&amp;" – "&amp;TEXT(F71,"$#,##0.00")))</f>
        <v>none seen</v>
      </c>
      <c r="H71" s="5" t="s">
        <v>1610</v>
      </c>
      <c r="I71" s="5" t="s">
        <v>776</v>
      </c>
    </row>
    <row r="72" customFormat="false" ht="15" hidden="false" customHeight="false" outlineLevel="0" collapsed="false">
      <c r="A72" s="5" t="s">
        <v>1131</v>
      </c>
      <c r="B72" s="5"/>
      <c r="C72" s="5" t="n">
        <f aca="false">COUNTIF('Observed lines'!$F$2:$F$36,A72)</f>
        <v>0</v>
      </c>
      <c r="D72" s="5" t="n">
        <f aca="false">COUNTIFS('Observed lines'!$F$2:$F$36,A72,'Observed lines'!$G$2:$G$36,"&lt;&gt;")</f>
        <v>0</v>
      </c>
      <c r="E72" s="8" t="str">
        <f aca="false">IF(D72=0,"",_xlfn.MINIFS('Observed lines'!$G$2:$G$36,'Observed lines'!$F$2:$F$36,A72))</f>
        <v/>
      </c>
      <c r="F72" s="8" t="str">
        <f aca="false">IF(D72=0,"",_xlfn.MAXIFS('Observed lines'!$G$2:$G$36,'Observed lines'!$F$2:$F$36,A72))</f>
        <v/>
      </c>
      <c r="G72" s="5" t="str">
        <f aca="false">IF(D72=0,"none seen",IF(E72=F72,TEXT(E72,"$#,##0.00"),TEXT(E72,"$#,##0.00")&amp;" – "&amp;TEXT(F72,"$#,##0.00")))</f>
        <v>none seen</v>
      </c>
      <c r="H72" s="5" t="s">
        <v>1610</v>
      </c>
      <c r="I72" s="5" t="s">
        <v>776</v>
      </c>
    </row>
    <row r="73" customFormat="false" ht="15" hidden="false" customHeight="false" outlineLevel="0" collapsed="false">
      <c r="A73" s="5" t="s">
        <v>1132</v>
      </c>
      <c r="B73" s="5"/>
      <c r="C73" s="5" t="n">
        <f aca="false">COUNTIF('Observed lines'!$F$2:$F$36,A73)</f>
        <v>0</v>
      </c>
      <c r="D73" s="5" t="n">
        <f aca="false">COUNTIFS('Observed lines'!$F$2:$F$36,A73,'Observed lines'!$G$2:$G$36,"&lt;&gt;")</f>
        <v>0</v>
      </c>
      <c r="E73" s="8" t="str">
        <f aca="false">IF(D73=0,"",_xlfn.MINIFS('Observed lines'!$G$2:$G$36,'Observed lines'!$F$2:$F$36,A73))</f>
        <v/>
      </c>
      <c r="F73" s="8" t="str">
        <f aca="false">IF(D73=0,"",_xlfn.MAXIFS('Observed lines'!$G$2:$G$36,'Observed lines'!$F$2:$F$36,A73))</f>
        <v/>
      </c>
      <c r="G73" s="5" t="str">
        <f aca="false">IF(D73=0,"none seen",IF(E73=F73,TEXT(E73,"$#,##0.00"),TEXT(E73,"$#,##0.00")&amp;" – "&amp;TEXT(F73,"$#,##0.00")))</f>
        <v>none seen</v>
      </c>
      <c r="H73" s="5" t="s">
        <v>1610</v>
      </c>
      <c r="I73" s="5" t="s">
        <v>776</v>
      </c>
    </row>
    <row r="74" customFormat="false" ht="15" hidden="false" customHeight="false" outlineLevel="0" collapsed="false">
      <c r="A74" s="5" t="s">
        <v>1133</v>
      </c>
      <c r="B74" s="5"/>
      <c r="C74" s="5" t="n">
        <f aca="false">COUNTIF('Observed lines'!$F$2:$F$36,A74)</f>
        <v>0</v>
      </c>
      <c r="D74" s="5" t="n">
        <f aca="false">COUNTIFS('Observed lines'!$F$2:$F$36,A74,'Observed lines'!$G$2:$G$36,"&lt;&gt;")</f>
        <v>0</v>
      </c>
      <c r="E74" s="8" t="str">
        <f aca="false">IF(D74=0,"",_xlfn.MINIFS('Observed lines'!$G$2:$G$36,'Observed lines'!$F$2:$F$36,A74))</f>
        <v/>
      </c>
      <c r="F74" s="8" t="str">
        <f aca="false">IF(D74=0,"",_xlfn.MAXIFS('Observed lines'!$G$2:$G$36,'Observed lines'!$F$2:$F$36,A74))</f>
        <v/>
      </c>
      <c r="G74" s="5" t="str">
        <f aca="false">IF(D74=0,"none seen",IF(E74=F74,TEXT(E74,"$#,##0.00"),TEXT(E74,"$#,##0.00")&amp;" – "&amp;TEXT(F74,"$#,##0.00")))</f>
        <v>none seen</v>
      </c>
      <c r="H74" s="5" t="s">
        <v>1610</v>
      </c>
      <c r="I74" s="5" t="s">
        <v>776</v>
      </c>
    </row>
    <row r="75" customFormat="false" ht="15" hidden="false" customHeight="false" outlineLevel="0" collapsed="false">
      <c r="A75" s="5" t="s">
        <v>1134</v>
      </c>
      <c r="B75" s="5"/>
      <c r="C75" s="5" t="n">
        <f aca="false">COUNTIF('Observed lines'!$F$2:$F$36,A75)</f>
        <v>0</v>
      </c>
      <c r="D75" s="5" t="n">
        <f aca="false">COUNTIFS('Observed lines'!$F$2:$F$36,A75,'Observed lines'!$G$2:$G$36,"&lt;&gt;")</f>
        <v>0</v>
      </c>
      <c r="E75" s="8" t="str">
        <f aca="false">IF(D75=0,"",_xlfn.MINIFS('Observed lines'!$G$2:$G$36,'Observed lines'!$F$2:$F$36,A75))</f>
        <v/>
      </c>
      <c r="F75" s="8" t="str">
        <f aca="false">IF(D75=0,"",_xlfn.MAXIFS('Observed lines'!$G$2:$G$36,'Observed lines'!$F$2:$F$36,A75))</f>
        <v/>
      </c>
      <c r="G75" s="5" t="str">
        <f aca="false">IF(D75=0,"none seen",IF(E75=F75,TEXT(E75,"$#,##0.00"),TEXT(E75,"$#,##0.00")&amp;" – "&amp;TEXT(F75,"$#,##0.00")))</f>
        <v>none seen</v>
      </c>
      <c r="H75" s="5" t="s">
        <v>1610</v>
      </c>
      <c r="I75" s="5" t="s">
        <v>776</v>
      </c>
    </row>
    <row r="76" customFormat="false" ht="15" hidden="false" customHeight="false" outlineLevel="0" collapsed="false">
      <c r="A76" s="5" t="s">
        <v>1135</v>
      </c>
      <c r="B76" s="5" t="s">
        <v>1136</v>
      </c>
      <c r="C76" s="5" t="n">
        <f aca="false">COUNTIF('Observed lines'!$F$2:$F$36,A76)</f>
        <v>1</v>
      </c>
      <c r="D76" s="5" t="n">
        <f aca="false">COUNTIFS('Observed lines'!$F$2:$F$36,A76,'Observed lines'!$G$2:$G$36,"&lt;&gt;")</f>
        <v>1</v>
      </c>
      <c r="E76" s="8" t="n">
        <f aca="false">IF(D76=0,"",_xlfn.MINIFS('Observed lines'!$G$2:$G$36,'Observed lines'!$F$2:$F$36,A76))</f>
        <v>0.79</v>
      </c>
      <c r="F76" s="8" t="n">
        <f aca="false">IF(D76=0,"",_xlfn.MAXIFS('Observed lines'!$G$2:$G$36,'Observed lines'!$F$2:$F$36,A76))</f>
        <v>0.79</v>
      </c>
      <c r="G76" s="5" t="str">
        <f aca="false">IF(D76=0,"none seen",IF(E76=F76,TEXT(E76,"$#,##0.00"),TEXT(E76,"$#,##0.00")&amp;" – "&amp;TEXT(F76,"$#,##0.00")))</f>
        <v>$0.79</v>
      </c>
      <c r="H76" s="5" t="s">
        <v>1611</v>
      </c>
      <c r="I76" s="5" t="s">
        <v>776</v>
      </c>
    </row>
    <row r="77" customFormat="false" ht="15" hidden="false" customHeight="false" outlineLevel="0" collapsed="false">
      <c r="A77" s="5" t="s">
        <v>1138</v>
      </c>
      <c r="B77" s="5" t="s">
        <v>1139</v>
      </c>
      <c r="C77" s="5" t="n">
        <f aca="false">COUNTIF('Observed lines'!$F$2:$F$36,A77)</f>
        <v>1</v>
      </c>
      <c r="D77" s="5" t="n">
        <f aca="false">COUNTIFS('Observed lines'!$F$2:$F$36,A77,'Observed lines'!$G$2:$G$36,"&lt;&gt;")</f>
        <v>1</v>
      </c>
      <c r="E77" s="8" t="n">
        <f aca="false">IF(D77=0,"",_xlfn.MINIFS('Observed lines'!$G$2:$G$36,'Observed lines'!$F$2:$F$36,A77))</f>
        <v>28.87</v>
      </c>
      <c r="F77" s="8" t="n">
        <f aca="false">IF(D77=0,"",_xlfn.MAXIFS('Observed lines'!$G$2:$G$36,'Observed lines'!$F$2:$F$36,A77))</f>
        <v>28.87</v>
      </c>
      <c r="G77" s="5" t="str">
        <f aca="false">IF(D77=0,"none seen",IF(E77=F77,TEXT(E77,"$#,##0.00"),TEXT(E77,"$#,##0.00")&amp;" – "&amp;TEXT(F77,"$#,##0.00")))</f>
        <v>$28.87</v>
      </c>
      <c r="H77" s="5" t="s">
        <v>1611</v>
      </c>
      <c r="I77" s="5" t="s">
        <v>776</v>
      </c>
    </row>
    <row r="78" customFormat="false" ht="15" hidden="false" customHeight="false" outlineLevel="0" collapsed="false">
      <c r="A78" s="5" t="s">
        <v>1141</v>
      </c>
      <c r="B78" s="5"/>
      <c r="C78" s="5" t="n">
        <f aca="false">COUNTIF('Observed lines'!$F$2:$F$36,A78)</f>
        <v>0</v>
      </c>
      <c r="D78" s="5" t="n">
        <f aca="false">COUNTIFS('Observed lines'!$F$2:$F$36,A78,'Observed lines'!$G$2:$G$36,"&lt;&gt;")</f>
        <v>0</v>
      </c>
      <c r="E78" s="8" t="str">
        <f aca="false">IF(D78=0,"",_xlfn.MINIFS('Observed lines'!$G$2:$G$36,'Observed lines'!$F$2:$F$36,A78))</f>
        <v/>
      </c>
      <c r="F78" s="8" t="str">
        <f aca="false">IF(D78=0,"",_xlfn.MAXIFS('Observed lines'!$G$2:$G$36,'Observed lines'!$F$2:$F$36,A78))</f>
        <v/>
      </c>
      <c r="G78" s="5" t="str">
        <f aca="false">IF(D78=0,"none seen",IF(E78=F78,TEXT(E78,"$#,##0.00"),TEXT(E78,"$#,##0.00")&amp;" – "&amp;TEXT(F78,"$#,##0.00")))</f>
        <v>none seen</v>
      </c>
      <c r="H78" s="5" t="s">
        <v>1610</v>
      </c>
      <c r="I78" s="5" t="s">
        <v>776</v>
      </c>
    </row>
    <row r="79" customFormat="false" ht="15" hidden="false" customHeight="false" outlineLevel="0" collapsed="false">
      <c r="A79" s="5" t="s">
        <v>1142</v>
      </c>
      <c r="B79" s="5"/>
      <c r="C79" s="5" t="n">
        <f aca="false">COUNTIF('Observed lines'!$F$2:$F$36,A79)</f>
        <v>0</v>
      </c>
      <c r="D79" s="5" t="n">
        <f aca="false">COUNTIFS('Observed lines'!$F$2:$F$36,A79,'Observed lines'!$G$2:$G$36,"&lt;&gt;")</f>
        <v>0</v>
      </c>
      <c r="E79" s="8" t="str">
        <f aca="false">IF(D79=0,"",_xlfn.MINIFS('Observed lines'!$G$2:$G$36,'Observed lines'!$F$2:$F$36,A79))</f>
        <v/>
      </c>
      <c r="F79" s="8" t="str">
        <f aca="false">IF(D79=0,"",_xlfn.MAXIFS('Observed lines'!$G$2:$G$36,'Observed lines'!$F$2:$F$36,A79))</f>
        <v/>
      </c>
      <c r="G79" s="5" t="str">
        <f aca="false">IF(D79=0,"none seen",IF(E79=F79,TEXT(E79,"$#,##0.00"),TEXT(E79,"$#,##0.00")&amp;" – "&amp;TEXT(F79,"$#,##0.00")))</f>
        <v>none seen</v>
      </c>
      <c r="H79" s="5" t="s">
        <v>1610</v>
      </c>
      <c r="I79" s="5" t="s">
        <v>776</v>
      </c>
    </row>
    <row r="80" customFormat="false" ht="15" hidden="false" customHeight="false" outlineLevel="0" collapsed="false">
      <c r="A80" s="5" t="s">
        <v>1143</v>
      </c>
      <c r="B80" s="5"/>
      <c r="C80" s="5" t="n">
        <f aca="false">COUNTIF('Observed lines'!$F$2:$F$36,A80)</f>
        <v>0</v>
      </c>
      <c r="D80" s="5" t="n">
        <f aca="false">COUNTIFS('Observed lines'!$F$2:$F$36,A80,'Observed lines'!$G$2:$G$36,"&lt;&gt;")</f>
        <v>0</v>
      </c>
      <c r="E80" s="8" t="str">
        <f aca="false">IF(D80=0,"",_xlfn.MINIFS('Observed lines'!$G$2:$G$36,'Observed lines'!$F$2:$F$36,A80))</f>
        <v/>
      </c>
      <c r="F80" s="8" t="str">
        <f aca="false">IF(D80=0,"",_xlfn.MAXIFS('Observed lines'!$G$2:$G$36,'Observed lines'!$F$2:$F$36,A80))</f>
        <v/>
      </c>
      <c r="G80" s="5" t="str">
        <f aca="false">IF(D80=0,"none seen",IF(E80=F80,TEXT(E80,"$#,##0.00"),TEXT(E80,"$#,##0.00")&amp;" – "&amp;TEXT(F80,"$#,##0.00")))</f>
        <v>none seen</v>
      </c>
      <c r="H80" s="5" t="s">
        <v>1610</v>
      </c>
      <c r="I80" s="5" t="s">
        <v>776</v>
      </c>
    </row>
    <row r="81" customFormat="false" ht="15" hidden="false" customHeight="false" outlineLevel="0" collapsed="false">
      <c r="A81" s="5" t="s">
        <v>1144</v>
      </c>
      <c r="B81" s="5"/>
      <c r="C81" s="5" t="n">
        <f aca="false">COUNTIF('Observed lines'!$F$2:$F$36,A81)</f>
        <v>0</v>
      </c>
      <c r="D81" s="5" t="n">
        <f aca="false">COUNTIFS('Observed lines'!$F$2:$F$36,A81,'Observed lines'!$G$2:$G$36,"&lt;&gt;")</f>
        <v>0</v>
      </c>
      <c r="E81" s="8" t="str">
        <f aca="false">IF(D81=0,"",_xlfn.MINIFS('Observed lines'!$G$2:$G$36,'Observed lines'!$F$2:$F$36,A81))</f>
        <v/>
      </c>
      <c r="F81" s="8" t="str">
        <f aca="false">IF(D81=0,"",_xlfn.MAXIFS('Observed lines'!$G$2:$G$36,'Observed lines'!$F$2:$F$36,A81))</f>
        <v/>
      </c>
      <c r="G81" s="5" t="str">
        <f aca="false">IF(D81=0,"none seen",IF(E81=F81,TEXT(E81,"$#,##0.00"),TEXT(E81,"$#,##0.00")&amp;" – "&amp;TEXT(F81,"$#,##0.00")))</f>
        <v>none seen</v>
      </c>
      <c r="H81" s="5" t="s">
        <v>1610</v>
      </c>
      <c r="I81" s="5" t="s">
        <v>776</v>
      </c>
    </row>
    <row r="82" customFormat="false" ht="15" hidden="false" customHeight="false" outlineLevel="0" collapsed="false">
      <c r="A82" s="5" t="s">
        <v>1145</v>
      </c>
      <c r="B82" s="5"/>
      <c r="C82" s="5" t="n">
        <f aca="false">COUNTIF('Observed lines'!$F$2:$F$36,A82)</f>
        <v>0</v>
      </c>
      <c r="D82" s="5" t="n">
        <f aca="false">COUNTIFS('Observed lines'!$F$2:$F$36,A82,'Observed lines'!$G$2:$G$36,"&lt;&gt;")</f>
        <v>0</v>
      </c>
      <c r="E82" s="8" t="str">
        <f aca="false">IF(D82=0,"",_xlfn.MINIFS('Observed lines'!$G$2:$G$36,'Observed lines'!$F$2:$F$36,A82))</f>
        <v/>
      </c>
      <c r="F82" s="8" t="str">
        <f aca="false">IF(D82=0,"",_xlfn.MAXIFS('Observed lines'!$G$2:$G$36,'Observed lines'!$F$2:$F$36,A82))</f>
        <v/>
      </c>
      <c r="G82" s="5" t="str">
        <f aca="false">IF(D82=0,"none seen",IF(E82=F82,TEXT(E82,"$#,##0.00"),TEXT(E82,"$#,##0.00")&amp;" – "&amp;TEXT(F82,"$#,##0.00")))</f>
        <v>none seen</v>
      </c>
      <c r="H82" s="5" t="s">
        <v>1610</v>
      </c>
      <c r="I82" s="5" t="s">
        <v>776</v>
      </c>
    </row>
    <row r="83" customFormat="false" ht="15" hidden="false" customHeight="false" outlineLevel="0" collapsed="false">
      <c r="A83" s="5" t="s">
        <v>1146</v>
      </c>
      <c r="B83" s="5"/>
      <c r="C83" s="5" t="n">
        <f aca="false">COUNTIF('Observed lines'!$F$2:$F$36,A83)</f>
        <v>0</v>
      </c>
      <c r="D83" s="5" t="n">
        <f aca="false">COUNTIFS('Observed lines'!$F$2:$F$36,A83,'Observed lines'!$G$2:$G$36,"&lt;&gt;")</f>
        <v>0</v>
      </c>
      <c r="E83" s="8" t="str">
        <f aca="false">IF(D83=0,"",_xlfn.MINIFS('Observed lines'!$G$2:$G$36,'Observed lines'!$F$2:$F$36,A83))</f>
        <v/>
      </c>
      <c r="F83" s="8" t="str">
        <f aca="false">IF(D83=0,"",_xlfn.MAXIFS('Observed lines'!$G$2:$G$36,'Observed lines'!$F$2:$F$36,A83))</f>
        <v/>
      </c>
      <c r="G83" s="5" t="str">
        <f aca="false">IF(D83=0,"none seen",IF(E83=F83,TEXT(E83,"$#,##0.00"),TEXT(E83,"$#,##0.00")&amp;" – "&amp;TEXT(F83,"$#,##0.00")))</f>
        <v>none seen</v>
      </c>
      <c r="H83" s="5" t="s">
        <v>1610</v>
      </c>
      <c r="I83" s="5" t="s">
        <v>776</v>
      </c>
    </row>
    <row r="84" customFormat="false" ht="15" hidden="false" customHeight="false" outlineLevel="0" collapsed="false">
      <c r="A84" s="5" t="s">
        <v>1147</v>
      </c>
      <c r="B84" s="5" t="s">
        <v>1148</v>
      </c>
      <c r="C84" s="5" t="n">
        <f aca="false">COUNTIF('Observed lines'!$F$2:$F$36,A84)</f>
        <v>1</v>
      </c>
      <c r="D84" s="5" t="n">
        <f aca="false">COUNTIFS('Observed lines'!$F$2:$F$36,A84,'Observed lines'!$G$2:$G$36,"&lt;&gt;")</f>
        <v>0</v>
      </c>
      <c r="E84" s="8" t="str">
        <f aca="false">IF(D84=0,"",_xlfn.MINIFS('Observed lines'!$G$2:$G$36,'Observed lines'!$F$2:$F$36,A84))</f>
        <v/>
      </c>
      <c r="F84" s="8" t="str">
        <f aca="false">IF(D84=0,"",_xlfn.MAXIFS('Observed lines'!$G$2:$G$36,'Observed lines'!$F$2:$F$36,A84))</f>
        <v/>
      </c>
      <c r="G84" s="5" t="str">
        <f aca="false">IF(D84=0,"none seen",IF(E84=F84,TEXT(E84,"$#,##0.00"),TEXT(E84,"$#,##0.00")&amp;" – "&amp;TEXT(F84,"$#,##0.00")))</f>
        <v>none seen</v>
      </c>
      <c r="H84" s="5" t="s">
        <v>1611</v>
      </c>
      <c r="I84" s="5" t="s">
        <v>776</v>
      </c>
    </row>
    <row r="85" customFormat="false" ht="15" hidden="false" customHeight="false" outlineLevel="0" collapsed="false">
      <c r="A85" s="5" t="s">
        <v>1150</v>
      </c>
      <c r="B85" s="5"/>
      <c r="C85" s="5" t="n">
        <f aca="false">COUNTIF('Observed lines'!$F$2:$F$36,A85)</f>
        <v>0</v>
      </c>
      <c r="D85" s="5" t="n">
        <f aca="false">COUNTIFS('Observed lines'!$F$2:$F$36,A85,'Observed lines'!$G$2:$G$36,"&lt;&gt;")</f>
        <v>0</v>
      </c>
      <c r="E85" s="8" t="str">
        <f aca="false">IF(D85=0,"",_xlfn.MINIFS('Observed lines'!$G$2:$G$36,'Observed lines'!$F$2:$F$36,A85))</f>
        <v/>
      </c>
      <c r="F85" s="8" t="str">
        <f aca="false">IF(D85=0,"",_xlfn.MAXIFS('Observed lines'!$G$2:$G$36,'Observed lines'!$F$2:$F$36,A85))</f>
        <v/>
      </c>
      <c r="G85" s="5" t="str">
        <f aca="false">IF(D85=0,"none seen",IF(E85=F85,TEXT(E85,"$#,##0.00"),TEXT(E85,"$#,##0.00")&amp;" – "&amp;TEXT(F85,"$#,##0.00")))</f>
        <v>none seen</v>
      </c>
      <c r="H85" s="5" t="s">
        <v>1610</v>
      </c>
      <c r="I85" s="5" t="s">
        <v>776</v>
      </c>
    </row>
    <row r="86" customFormat="false" ht="15" hidden="false" customHeight="false" outlineLevel="0" collapsed="false">
      <c r="A86" s="5" t="s">
        <v>1151</v>
      </c>
      <c r="B86" s="5"/>
      <c r="C86" s="5" t="n">
        <f aca="false">COUNTIF('Observed lines'!$F$2:$F$36,A86)</f>
        <v>0</v>
      </c>
      <c r="D86" s="5" t="n">
        <f aca="false">COUNTIFS('Observed lines'!$F$2:$F$36,A86,'Observed lines'!$G$2:$G$36,"&lt;&gt;")</f>
        <v>0</v>
      </c>
      <c r="E86" s="8" t="str">
        <f aca="false">IF(D86=0,"",_xlfn.MINIFS('Observed lines'!$G$2:$G$36,'Observed lines'!$F$2:$F$36,A86))</f>
        <v/>
      </c>
      <c r="F86" s="8" t="str">
        <f aca="false">IF(D86=0,"",_xlfn.MAXIFS('Observed lines'!$G$2:$G$36,'Observed lines'!$F$2:$F$36,A86))</f>
        <v/>
      </c>
      <c r="G86" s="5" t="str">
        <f aca="false">IF(D86=0,"none seen",IF(E86=F86,TEXT(E86,"$#,##0.00"),TEXT(E86,"$#,##0.00")&amp;" – "&amp;TEXT(F86,"$#,##0.00")))</f>
        <v>none seen</v>
      </c>
      <c r="H86" s="5" t="s">
        <v>1610</v>
      </c>
      <c r="I86" s="5" t="s">
        <v>776</v>
      </c>
    </row>
    <row r="87" customFormat="false" ht="15" hidden="false" customHeight="false" outlineLevel="0" collapsed="false">
      <c r="A87" s="5" t="s">
        <v>1152</v>
      </c>
      <c r="B87" s="5"/>
      <c r="C87" s="5" t="n">
        <f aca="false">COUNTIF('Observed lines'!$F$2:$F$36,A87)</f>
        <v>0</v>
      </c>
      <c r="D87" s="5" t="n">
        <f aca="false">COUNTIFS('Observed lines'!$F$2:$F$36,A87,'Observed lines'!$G$2:$G$36,"&lt;&gt;")</f>
        <v>0</v>
      </c>
      <c r="E87" s="8" t="str">
        <f aca="false">IF(D87=0,"",_xlfn.MINIFS('Observed lines'!$G$2:$G$36,'Observed lines'!$F$2:$F$36,A87))</f>
        <v/>
      </c>
      <c r="F87" s="8" t="str">
        <f aca="false">IF(D87=0,"",_xlfn.MAXIFS('Observed lines'!$G$2:$G$36,'Observed lines'!$F$2:$F$36,A87))</f>
        <v/>
      </c>
      <c r="G87" s="5" t="str">
        <f aca="false">IF(D87=0,"none seen",IF(E87=F87,TEXT(E87,"$#,##0.00"),TEXT(E87,"$#,##0.00")&amp;" – "&amp;TEXT(F87,"$#,##0.00")))</f>
        <v>none seen</v>
      </c>
      <c r="H87" s="5" t="s">
        <v>1610</v>
      </c>
      <c r="I87" s="5" t="s">
        <v>776</v>
      </c>
    </row>
    <row r="88" customFormat="false" ht="15" hidden="false" customHeight="false" outlineLevel="0" collapsed="false">
      <c r="A88" s="5" t="s">
        <v>1153</v>
      </c>
      <c r="B88" s="5"/>
      <c r="C88" s="5" t="n">
        <f aca="false">COUNTIF('Observed lines'!$F$2:$F$36,A88)</f>
        <v>0</v>
      </c>
      <c r="D88" s="5" t="n">
        <f aca="false">COUNTIFS('Observed lines'!$F$2:$F$36,A88,'Observed lines'!$G$2:$G$36,"&lt;&gt;")</f>
        <v>0</v>
      </c>
      <c r="E88" s="8" t="str">
        <f aca="false">IF(D88=0,"",_xlfn.MINIFS('Observed lines'!$G$2:$G$36,'Observed lines'!$F$2:$F$36,A88))</f>
        <v/>
      </c>
      <c r="F88" s="8" t="str">
        <f aca="false">IF(D88=0,"",_xlfn.MAXIFS('Observed lines'!$G$2:$G$36,'Observed lines'!$F$2:$F$36,A88))</f>
        <v/>
      </c>
      <c r="G88" s="5" t="str">
        <f aca="false">IF(D88=0,"none seen",IF(E88=F88,TEXT(E88,"$#,##0.00"),TEXT(E88,"$#,##0.00")&amp;" – "&amp;TEXT(F88,"$#,##0.00")))</f>
        <v>none seen</v>
      </c>
      <c r="H88" s="5" t="s">
        <v>1610</v>
      </c>
      <c r="I88" s="5" t="s">
        <v>776</v>
      </c>
    </row>
    <row r="89" customFormat="false" ht="15" hidden="false" customHeight="false" outlineLevel="0" collapsed="false">
      <c r="A89" s="5" t="s">
        <v>1154</v>
      </c>
      <c r="B89" s="5" t="s">
        <v>1155</v>
      </c>
      <c r="C89" s="5" t="n">
        <f aca="false">COUNTIF('Observed lines'!$F$2:$F$36,A89)</f>
        <v>1</v>
      </c>
      <c r="D89" s="5" t="n">
        <f aca="false">COUNTIFS('Observed lines'!$F$2:$F$36,A89,'Observed lines'!$G$2:$G$36,"&lt;&gt;")</f>
        <v>1</v>
      </c>
      <c r="E89" s="8" t="n">
        <f aca="false">IF(D89=0,"",_xlfn.MINIFS('Observed lines'!$G$2:$G$36,'Observed lines'!$F$2:$F$36,A89))</f>
        <v>220.31</v>
      </c>
      <c r="F89" s="8" t="n">
        <f aca="false">IF(D89=0,"",_xlfn.MAXIFS('Observed lines'!$G$2:$G$36,'Observed lines'!$F$2:$F$36,A89))</f>
        <v>220.31</v>
      </c>
      <c r="G89" s="5" t="str">
        <f aca="false">IF(D89=0,"none seen",IF(E89=F89,TEXT(E89,"$#,##0.00"),TEXT(E89,"$#,##0.00")&amp;" – "&amp;TEXT(F89,"$#,##0.00")))</f>
        <v>$220.31</v>
      </c>
      <c r="H89" s="5" t="s">
        <v>1611</v>
      </c>
      <c r="I89" s="5" t="s">
        <v>776</v>
      </c>
    </row>
    <row r="90" customFormat="false" ht="15" hidden="false" customHeight="false" outlineLevel="0" collapsed="false">
      <c r="A90" s="5" t="s">
        <v>1157</v>
      </c>
      <c r="B90" s="5"/>
      <c r="C90" s="5" t="n">
        <f aca="false">COUNTIF('Observed lines'!$F$2:$F$36,A90)</f>
        <v>0</v>
      </c>
      <c r="D90" s="5" t="n">
        <f aca="false">COUNTIFS('Observed lines'!$F$2:$F$36,A90,'Observed lines'!$G$2:$G$36,"&lt;&gt;")</f>
        <v>0</v>
      </c>
      <c r="E90" s="8" t="str">
        <f aca="false">IF(D90=0,"",_xlfn.MINIFS('Observed lines'!$G$2:$G$36,'Observed lines'!$F$2:$F$36,A90))</f>
        <v/>
      </c>
      <c r="F90" s="8" t="str">
        <f aca="false">IF(D90=0,"",_xlfn.MAXIFS('Observed lines'!$G$2:$G$36,'Observed lines'!$F$2:$F$36,A90))</f>
        <v/>
      </c>
      <c r="G90" s="5" t="str">
        <f aca="false">IF(D90=0,"none seen",IF(E90=F90,TEXT(E90,"$#,##0.00"),TEXT(E90,"$#,##0.00")&amp;" – "&amp;TEXT(F90,"$#,##0.00")))</f>
        <v>none seen</v>
      </c>
      <c r="H90" s="5" t="s">
        <v>1610</v>
      </c>
      <c r="I90" s="5" t="s">
        <v>776</v>
      </c>
    </row>
    <row r="91" customFormat="false" ht="15" hidden="false" customHeight="false" outlineLevel="0" collapsed="false">
      <c r="A91" s="5" t="s">
        <v>1158</v>
      </c>
      <c r="B91" s="5"/>
      <c r="C91" s="5" t="n">
        <f aca="false">COUNTIF('Observed lines'!$F$2:$F$36,A91)</f>
        <v>0</v>
      </c>
      <c r="D91" s="5" t="n">
        <f aca="false">COUNTIFS('Observed lines'!$F$2:$F$36,A91,'Observed lines'!$G$2:$G$36,"&lt;&gt;")</f>
        <v>0</v>
      </c>
      <c r="E91" s="8" t="str">
        <f aca="false">IF(D91=0,"",_xlfn.MINIFS('Observed lines'!$G$2:$G$36,'Observed lines'!$F$2:$F$36,A91))</f>
        <v/>
      </c>
      <c r="F91" s="8" t="str">
        <f aca="false">IF(D91=0,"",_xlfn.MAXIFS('Observed lines'!$G$2:$G$36,'Observed lines'!$F$2:$F$36,A91))</f>
        <v/>
      </c>
      <c r="G91" s="5" t="str">
        <f aca="false">IF(D91=0,"none seen",IF(E91=F91,TEXT(E91,"$#,##0.00"),TEXT(E91,"$#,##0.00")&amp;" – "&amp;TEXT(F91,"$#,##0.00")))</f>
        <v>none seen</v>
      </c>
      <c r="H91" s="5" t="s">
        <v>1610</v>
      </c>
      <c r="I91" s="5" t="s">
        <v>776</v>
      </c>
    </row>
    <row r="92" customFormat="false" ht="15" hidden="false" customHeight="false" outlineLevel="0" collapsed="false">
      <c r="A92" s="5" t="s">
        <v>1159</v>
      </c>
      <c r="B92" s="5"/>
      <c r="C92" s="5" t="n">
        <f aca="false">COUNTIF('Observed lines'!$F$2:$F$36,A92)</f>
        <v>0</v>
      </c>
      <c r="D92" s="5" t="n">
        <f aca="false">COUNTIFS('Observed lines'!$F$2:$F$36,A92,'Observed lines'!$G$2:$G$36,"&lt;&gt;")</f>
        <v>0</v>
      </c>
      <c r="E92" s="8" t="str">
        <f aca="false">IF(D92=0,"",_xlfn.MINIFS('Observed lines'!$G$2:$G$36,'Observed lines'!$F$2:$F$36,A92))</f>
        <v/>
      </c>
      <c r="F92" s="8" t="str">
        <f aca="false">IF(D92=0,"",_xlfn.MAXIFS('Observed lines'!$G$2:$G$36,'Observed lines'!$F$2:$F$36,A92))</f>
        <v/>
      </c>
      <c r="G92" s="5" t="str">
        <f aca="false">IF(D92=0,"none seen",IF(E92=F92,TEXT(E92,"$#,##0.00"),TEXT(E92,"$#,##0.00")&amp;" – "&amp;TEXT(F92,"$#,##0.00")))</f>
        <v>none seen</v>
      </c>
      <c r="H92" s="5" t="s">
        <v>1610</v>
      </c>
      <c r="I92" s="5" t="s">
        <v>776</v>
      </c>
    </row>
    <row r="93" customFormat="false" ht="15" hidden="false" customHeight="false" outlineLevel="0" collapsed="false">
      <c r="A93" s="5" t="s">
        <v>1160</v>
      </c>
      <c r="B93" s="5"/>
      <c r="C93" s="5" t="n">
        <f aca="false">COUNTIF('Observed lines'!$F$2:$F$36,A93)</f>
        <v>0</v>
      </c>
      <c r="D93" s="5" t="n">
        <f aca="false">COUNTIFS('Observed lines'!$F$2:$F$36,A93,'Observed lines'!$G$2:$G$36,"&lt;&gt;")</f>
        <v>0</v>
      </c>
      <c r="E93" s="8" t="str">
        <f aca="false">IF(D93=0,"",_xlfn.MINIFS('Observed lines'!$G$2:$G$36,'Observed lines'!$F$2:$F$36,A93))</f>
        <v/>
      </c>
      <c r="F93" s="8" t="str">
        <f aca="false">IF(D93=0,"",_xlfn.MAXIFS('Observed lines'!$G$2:$G$36,'Observed lines'!$F$2:$F$36,A93))</f>
        <v/>
      </c>
      <c r="G93" s="5" t="str">
        <f aca="false">IF(D93=0,"none seen",IF(E93=F93,TEXT(E93,"$#,##0.00"),TEXT(E93,"$#,##0.00")&amp;" – "&amp;TEXT(F93,"$#,##0.00")))</f>
        <v>none seen</v>
      </c>
      <c r="H93" s="5" t="s">
        <v>1610</v>
      </c>
      <c r="I93" s="5" t="s">
        <v>776</v>
      </c>
    </row>
    <row r="94" customFormat="false" ht="15" hidden="false" customHeight="false" outlineLevel="0" collapsed="false">
      <c r="A94" s="5" t="s">
        <v>1161</v>
      </c>
      <c r="B94" s="5"/>
      <c r="C94" s="5" t="n">
        <f aca="false">COUNTIF('Observed lines'!$F$2:$F$36,A94)</f>
        <v>0</v>
      </c>
      <c r="D94" s="5" t="n">
        <f aca="false">COUNTIFS('Observed lines'!$F$2:$F$36,A94,'Observed lines'!$G$2:$G$36,"&lt;&gt;")</f>
        <v>0</v>
      </c>
      <c r="E94" s="8" t="str">
        <f aca="false">IF(D94=0,"",_xlfn.MINIFS('Observed lines'!$G$2:$G$36,'Observed lines'!$F$2:$F$36,A94))</f>
        <v/>
      </c>
      <c r="F94" s="8" t="str">
        <f aca="false">IF(D94=0,"",_xlfn.MAXIFS('Observed lines'!$G$2:$G$36,'Observed lines'!$F$2:$F$36,A94))</f>
        <v/>
      </c>
      <c r="G94" s="5" t="str">
        <f aca="false">IF(D94=0,"none seen",IF(E94=F94,TEXT(E94,"$#,##0.00"),TEXT(E94,"$#,##0.00")&amp;" – "&amp;TEXT(F94,"$#,##0.00")))</f>
        <v>none seen</v>
      </c>
      <c r="H94" s="5" t="s">
        <v>1610</v>
      </c>
      <c r="I94" s="5" t="s">
        <v>776</v>
      </c>
    </row>
    <row r="95" customFormat="false" ht="15" hidden="false" customHeight="false" outlineLevel="0" collapsed="false">
      <c r="A95" s="5" t="s">
        <v>1162</v>
      </c>
      <c r="B95" s="5" t="s">
        <v>1163</v>
      </c>
      <c r="C95" s="5" t="n">
        <f aca="false">COUNTIF('Observed lines'!$F$2:$F$36,A95)</f>
        <v>1</v>
      </c>
      <c r="D95" s="5" t="n">
        <f aca="false">COUNTIFS('Observed lines'!$F$2:$F$36,A95,'Observed lines'!$G$2:$G$36,"&lt;&gt;")</f>
        <v>1</v>
      </c>
      <c r="E95" s="8" t="n">
        <f aca="false">IF(D95=0,"",_xlfn.MINIFS('Observed lines'!$G$2:$G$36,'Observed lines'!$F$2:$F$36,A95))</f>
        <v>447.17</v>
      </c>
      <c r="F95" s="8" t="n">
        <f aca="false">IF(D95=0,"",_xlfn.MAXIFS('Observed lines'!$G$2:$G$36,'Observed lines'!$F$2:$F$36,A95))</f>
        <v>447.17</v>
      </c>
      <c r="G95" s="5" t="str">
        <f aca="false">IF(D95=0,"none seen",IF(E95=F95,TEXT(E95,"$#,##0.00"),TEXT(E95,"$#,##0.00")&amp;" – "&amp;TEXT(F95,"$#,##0.00")))</f>
        <v>$447.17</v>
      </c>
      <c r="H95" s="5" t="s">
        <v>1611</v>
      </c>
      <c r="I95" s="5" t="s">
        <v>776</v>
      </c>
    </row>
    <row r="96" customFormat="false" ht="15" hidden="false" customHeight="false" outlineLevel="0" collapsed="false">
      <c r="A96" s="5" t="s">
        <v>1165</v>
      </c>
      <c r="B96" s="5"/>
      <c r="C96" s="5" t="n">
        <f aca="false">COUNTIF('Observed lines'!$F$2:$F$36,A96)</f>
        <v>0</v>
      </c>
      <c r="D96" s="5" t="n">
        <f aca="false">COUNTIFS('Observed lines'!$F$2:$F$36,A96,'Observed lines'!$G$2:$G$36,"&lt;&gt;")</f>
        <v>0</v>
      </c>
      <c r="E96" s="8" t="str">
        <f aca="false">IF(D96=0,"",_xlfn.MINIFS('Observed lines'!$G$2:$G$36,'Observed lines'!$F$2:$F$36,A96))</f>
        <v/>
      </c>
      <c r="F96" s="8" t="str">
        <f aca="false">IF(D96=0,"",_xlfn.MAXIFS('Observed lines'!$G$2:$G$36,'Observed lines'!$F$2:$F$36,A96))</f>
        <v/>
      </c>
      <c r="G96" s="5" t="str">
        <f aca="false">IF(D96=0,"none seen",IF(E96=F96,TEXT(E96,"$#,##0.00"),TEXT(E96,"$#,##0.00")&amp;" – "&amp;TEXT(F96,"$#,##0.00")))</f>
        <v>none seen</v>
      </c>
      <c r="H96" s="5" t="s">
        <v>1610</v>
      </c>
      <c r="I96" s="5" t="s">
        <v>776</v>
      </c>
    </row>
    <row r="97" customFormat="false" ht="15" hidden="false" customHeight="false" outlineLevel="0" collapsed="false">
      <c r="A97" s="5" t="s">
        <v>1166</v>
      </c>
      <c r="B97" s="5"/>
      <c r="C97" s="5" t="n">
        <f aca="false">COUNTIF('Observed lines'!$F$2:$F$36,A97)</f>
        <v>0</v>
      </c>
      <c r="D97" s="5" t="n">
        <f aca="false">COUNTIFS('Observed lines'!$F$2:$F$36,A97,'Observed lines'!$G$2:$G$36,"&lt;&gt;")</f>
        <v>0</v>
      </c>
      <c r="E97" s="8" t="str">
        <f aca="false">IF(D97=0,"",_xlfn.MINIFS('Observed lines'!$G$2:$G$36,'Observed lines'!$F$2:$F$36,A97))</f>
        <v/>
      </c>
      <c r="F97" s="8" t="str">
        <f aca="false">IF(D97=0,"",_xlfn.MAXIFS('Observed lines'!$G$2:$G$36,'Observed lines'!$F$2:$F$36,A97))</f>
        <v/>
      </c>
      <c r="G97" s="5" t="str">
        <f aca="false">IF(D97=0,"none seen",IF(E97=F97,TEXT(E97,"$#,##0.00"),TEXT(E97,"$#,##0.00")&amp;" – "&amp;TEXT(F97,"$#,##0.00")))</f>
        <v>none seen</v>
      </c>
      <c r="H97" s="5" t="s">
        <v>1610</v>
      </c>
      <c r="I97" s="5" t="s">
        <v>776</v>
      </c>
    </row>
    <row r="98" customFormat="false" ht="15" hidden="false" customHeight="false" outlineLevel="0" collapsed="false">
      <c r="A98" s="5" t="s">
        <v>1167</v>
      </c>
      <c r="B98" s="5"/>
      <c r="C98" s="5" t="n">
        <f aca="false">COUNTIF('Observed lines'!$F$2:$F$36,A98)</f>
        <v>0</v>
      </c>
      <c r="D98" s="5" t="n">
        <f aca="false">COUNTIFS('Observed lines'!$F$2:$F$36,A98,'Observed lines'!$G$2:$G$36,"&lt;&gt;")</f>
        <v>0</v>
      </c>
      <c r="E98" s="8" t="str">
        <f aca="false">IF(D98=0,"",_xlfn.MINIFS('Observed lines'!$G$2:$G$36,'Observed lines'!$F$2:$F$36,A98))</f>
        <v/>
      </c>
      <c r="F98" s="8" t="str">
        <f aca="false">IF(D98=0,"",_xlfn.MAXIFS('Observed lines'!$G$2:$G$36,'Observed lines'!$F$2:$F$36,A98))</f>
        <v/>
      </c>
      <c r="G98" s="5" t="str">
        <f aca="false">IF(D98=0,"none seen",IF(E98=F98,TEXT(E98,"$#,##0.00"),TEXT(E98,"$#,##0.00")&amp;" – "&amp;TEXT(F98,"$#,##0.00")))</f>
        <v>none seen</v>
      </c>
      <c r="H98" s="5" t="s">
        <v>1610</v>
      </c>
      <c r="I98" s="5" t="s">
        <v>776</v>
      </c>
    </row>
    <row r="99" customFormat="false" ht="15" hidden="false" customHeight="false" outlineLevel="0" collapsed="false">
      <c r="A99" s="5" t="s">
        <v>1168</v>
      </c>
      <c r="B99" s="5"/>
      <c r="C99" s="5" t="n">
        <f aca="false">COUNTIF('Observed lines'!$F$2:$F$36,A99)</f>
        <v>0</v>
      </c>
      <c r="D99" s="5" t="n">
        <f aca="false">COUNTIFS('Observed lines'!$F$2:$F$36,A99,'Observed lines'!$G$2:$G$36,"&lt;&gt;")</f>
        <v>0</v>
      </c>
      <c r="E99" s="8" t="str">
        <f aca="false">IF(D99=0,"",_xlfn.MINIFS('Observed lines'!$G$2:$G$36,'Observed lines'!$F$2:$F$36,A99))</f>
        <v/>
      </c>
      <c r="F99" s="8" t="str">
        <f aca="false">IF(D99=0,"",_xlfn.MAXIFS('Observed lines'!$G$2:$G$36,'Observed lines'!$F$2:$F$36,A99))</f>
        <v/>
      </c>
      <c r="G99" s="5" t="str">
        <f aca="false">IF(D99=0,"none seen",IF(E99=F99,TEXT(E99,"$#,##0.00"),TEXT(E99,"$#,##0.00")&amp;" – "&amp;TEXT(F99,"$#,##0.00")))</f>
        <v>none seen</v>
      </c>
      <c r="H99" s="5" t="s">
        <v>1610</v>
      </c>
      <c r="I99" s="5" t="s">
        <v>776</v>
      </c>
    </row>
    <row r="100" customFormat="false" ht="15" hidden="false" customHeight="false" outlineLevel="0" collapsed="false">
      <c r="A100" s="5" t="s">
        <v>1169</v>
      </c>
      <c r="B100" s="5"/>
      <c r="C100" s="5" t="n">
        <f aca="false">COUNTIF('Observed lines'!$F$2:$F$36,A100)</f>
        <v>0</v>
      </c>
      <c r="D100" s="5" t="n">
        <f aca="false">COUNTIFS('Observed lines'!$F$2:$F$36,A100,'Observed lines'!$G$2:$G$36,"&lt;&gt;")</f>
        <v>0</v>
      </c>
      <c r="E100" s="8" t="str">
        <f aca="false">IF(D100=0,"",_xlfn.MINIFS('Observed lines'!$G$2:$G$36,'Observed lines'!$F$2:$F$36,A100))</f>
        <v/>
      </c>
      <c r="F100" s="8" t="str">
        <f aca="false">IF(D100=0,"",_xlfn.MAXIFS('Observed lines'!$G$2:$G$36,'Observed lines'!$F$2:$F$36,A100))</f>
        <v/>
      </c>
      <c r="G100" s="5" t="str">
        <f aca="false">IF(D100=0,"none seen",IF(E100=F100,TEXT(E100,"$#,##0.00"),TEXT(E100,"$#,##0.00")&amp;" – "&amp;TEXT(F100,"$#,##0.00")))</f>
        <v>none seen</v>
      </c>
      <c r="H100" s="5" t="s">
        <v>1610</v>
      </c>
      <c r="I100" s="5" t="s">
        <v>776</v>
      </c>
    </row>
    <row r="101" customFormat="false" ht="15" hidden="false" customHeight="false" outlineLevel="0" collapsed="false">
      <c r="A101" s="5" t="s">
        <v>1170</v>
      </c>
      <c r="B101" s="5"/>
      <c r="C101" s="5" t="n">
        <f aca="false">COUNTIF('Observed lines'!$F$2:$F$36,A101)</f>
        <v>0</v>
      </c>
      <c r="D101" s="5" t="n">
        <f aca="false">COUNTIFS('Observed lines'!$F$2:$F$36,A101,'Observed lines'!$G$2:$G$36,"&lt;&gt;")</f>
        <v>0</v>
      </c>
      <c r="E101" s="8" t="str">
        <f aca="false">IF(D101=0,"",_xlfn.MINIFS('Observed lines'!$G$2:$G$36,'Observed lines'!$F$2:$F$36,A101))</f>
        <v/>
      </c>
      <c r="F101" s="8" t="str">
        <f aca="false">IF(D101=0,"",_xlfn.MAXIFS('Observed lines'!$G$2:$G$36,'Observed lines'!$F$2:$F$36,A101))</f>
        <v/>
      </c>
      <c r="G101" s="5" t="str">
        <f aca="false">IF(D101=0,"none seen",IF(E101=F101,TEXT(E101,"$#,##0.00"),TEXT(E101,"$#,##0.00")&amp;" – "&amp;TEXT(F101,"$#,##0.00")))</f>
        <v>none seen</v>
      </c>
      <c r="H101" s="5" t="s">
        <v>1610</v>
      </c>
      <c r="I101" s="5" t="s">
        <v>776</v>
      </c>
    </row>
    <row r="102" customFormat="false" ht="15" hidden="false" customHeight="false" outlineLevel="0" collapsed="false">
      <c r="A102" s="5" t="s">
        <v>1171</v>
      </c>
      <c r="B102" s="5"/>
      <c r="C102" s="5" t="n">
        <f aca="false">COUNTIF('Observed lines'!$F$2:$F$36,A102)</f>
        <v>0</v>
      </c>
      <c r="D102" s="5" t="n">
        <f aca="false">COUNTIFS('Observed lines'!$F$2:$F$36,A102,'Observed lines'!$G$2:$G$36,"&lt;&gt;")</f>
        <v>0</v>
      </c>
      <c r="E102" s="8" t="str">
        <f aca="false">IF(D102=0,"",_xlfn.MINIFS('Observed lines'!$G$2:$G$36,'Observed lines'!$F$2:$F$36,A102))</f>
        <v/>
      </c>
      <c r="F102" s="8" t="str">
        <f aca="false">IF(D102=0,"",_xlfn.MAXIFS('Observed lines'!$G$2:$G$36,'Observed lines'!$F$2:$F$36,A102))</f>
        <v/>
      </c>
      <c r="G102" s="5" t="str">
        <f aca="false">IF(D102=0,"none seen",IF(E102=F102,TEXT(E102,"$#,##0.00"),TEXT(E102,"$#,##0.00")&amp;" – "&amp;TEXT(F102,"$#,##0.00")))</f>
        <v>none seen</v>
      </c>
      <c r="H102" s="5" t="s">
        <v>1610</v>
      </c>
      <c r="I102" s="5" t="s">
        <v>776</v>
      </c>
    </row>
    <row r="103" customFormat="false" ht="15" hidden="false" customHeight="false" outlineLevel="0" collapsed="false">
      <c r="A103" s="5" t="s">
        <v>1172</v>
      </c>
      <c r="B103" s="5"/>
      <c r="C103" s="5" t="n">
        <f aca="false">COUNTIF('Observed lines'!$F$2:$F$36,A103)</f>
        <v>0</v>
      </c>
      <c r="D103" s="5" t="n">
        <f aca="false">COUNTIFS('Observed lines'!$F$2:$F$36,A103,'Observed lines'!$G$2:$G$36,"&lt;&gt;")</f>
        <v>0</v>
      </c>
      <c r="E103" s="8" t="str">
        <f aca="false">IF(D103=0,"",_xlfn.MINIFS('Observed lines'!$G$2:$G$36,'Observed lines'!$F$2:$F$36,A103))</f>
        <v/>
      </c>
      <c r="F103" s="8" t="str">
        <f aca="false">IF(D103=0,"",_xlfn.MAXIFS('Observed lines'!$G$2:$G$36,'Observed lines'!$F$2:$F$36,A103))</f>
        <v/>
      </c>
      <c r="G103" s="5" t="str">
        <f aca="false">IF(D103=0,"none seen",IF(E103=F103,TEXT(E103,"$#,##0.00"),TEXT(E103,"$#,##0.00")&amp;" – "&amp;TEXT(F103,"$#,##0.00")))</f>
        <v>none seen</v>
      </c>
      <c r="H103" s="5" t="s">
        <v>1610</v>
      </c>
      <c r="I103" s="5" t="s">
        <v>776</v>
      </c>
    </row>
    <row r="104" customFormat="false" ht="15" hidden="false" customHeight="false" outlineLevel="0" collapsed="false">
      <c r="A104" s="5" t="s">
        <v>1173</v>
      </c>
      <c r="B104" s="5"/>
      <c r="C104" s="5" t="n">
        <f aca="false">COUNTIF('Observed lines'!$F$2:$F$36,A104)</f>
        <v>0</v>
      </c>
      <c r="D104" s="5" t="n">
        <f aca="false">COUNTIFS('Observed lines'!$F$2:$F$36,A104,'Observed lines'!$G$2:$G$36,"&lt;&gt;")</f>
        <v>0</v>
      </c>
      <c r="E104" s="8" t="str">
        <f aca="false">IF(D104=0,"",_xlfn.MINIFS('Observed lines'!$G$2:$G$36,'Observed lines'!$F$2:$F$36,A104))</f>
        <v/>
      </c>
      <c r="F104" s="8" t="str">
        <f aca="false">IF(D104=0,"",_xlfn.MAXIFS('Observed lines'!$G$2:$G$36,'Observed lines'!$F$2:$F$36,A104))</f>
        <v/>
      </c>
      <c r="G104" s="5" t="str">
        <f aca="false">IF(D104=0,"none seen",IF(E104=F104,TEXT(E104,"$#,##0.00"),TEXT(E104,"$#,##0.00")&amp;" – "&amp;TEXT(F104,"$#,##0.00")))</f>
        <v>none seen</v>
      </c>
      <c r="H104" s="5" t="s">
        <v>1610</v>
      </c>
      <c r="I104" s="5" t="s">
        <v>776</v>
      </c>
    </row>
    <row r="105" customFormat="false" ht="15" hidden="false" customHeight="false" outlineLevel="0" collapsed="false">
      <c r="A105" s="5" t="s">
        <v>1174</v>
      </c>
      <c r="B105" s="5" t="s">
        <v>1175</v>
      </c>
      <c r="C105" s="5" t="n">
        <f aca="false">COUNTIF('Observed lines'!$F$2:$F$36,A105)</f>
        <v>2</v>
      </c>
      <c r="D105" s="5" t="n">
        <f aca="false">COUNTIFS('Observed lines'!$F$2:$F$36,A105,'Observed lines'!$G$2:$G$36,"&lt;&gt;")</f>
        <v>1</v>
      </c>
      <c r="E105" s="8" t="n">
        <f aca="false">IF(D105=0,"",_xlfn.MINIFS('Observed lines'!$G$2:$G$36,'Observed lines'!$F$2:$F$36,A105))</f>
        <v>17.04</v>
      </c>
      <c r="F105" s="8" t="n">
        <f aca="false">IF(D105=0,"",_xlfn.MAXIFS('Observed lines'!$G$2:$G$36,'Observed lines'!$F$2:$F$36,A105))</f>
        <v>17.04</v>
      </c>
      <c r="G105" s="5" t="str">
        <f aca="false">IF(D105=0,"none seen",IF(E105=F105,TEXT(E105,"$#,##0.00"),TEXT(E105,"$#,##0.00")&amp;" – "&amp;TEXT(F105,"$#,##0.00")))</f>
        <v>$17.04</v>
      </c>
      <c r="H105" s="5" t="s">
        <v>1611</v>
      </c>
      <c r="I105" s="5" t="s">
        <v>776</v>
      </c>
    </row>
    <row r="106" customFormat="false" ht="15" hidden="false" customHeight="false" outlineLevel="0" collapsed="false">
      <c r="A106" s="5" t="s">
        <v>1177</v>
      </c>
      <c r="B106" s="5"/>
      <c r="C106" s="5" t="n">
        <f aca="false">COUNTIF('Observed lines'!$F$2:$F$36,A106)</f>
        <v>0</v>
      </c>
      <c r="D106" s="5" t="n">
        <f aca="false">COUNTIFS('Observed lines'!$F$2:$F$36,A106,'Observed lines'!$G$2:$G$36,"&lt;&gt;")</f>
        <v>0</v>
      </c>
      <c r="E106" s="8" t="str">
        <f aca="false">IF(D106=0,"",_xlfn.MINIFS('Observed lines'!$G$2:$G$36,'Observed lines'!$F$2:$F$36,A106))</f>
        <v/>
      </c>
      <c r="F106" s="8" t="str">
        <f aca="false">IF(D106=0,"",_xlfn.MAXIFS('Observed lines'!$G$2:$G$36,'Observed lines'!$F$2:$F$36,A106))</f>
        <v/>
      </c>
      <c r="G106" s="5" t="str">
        <f aca="false">IF(D106=0,"none seen",IF(E106=F106,TEXT(E106,"$#,##0.00"),TEXT(E106,"$#,##0.00")&amp;" – "&amp;TEXT(F106,"$#,##0.00")))</f>
        <v>none seen</v>
      </c>
      <c r="H106" s="5" t="s">
        <v>1610</v>
      </c>
      <c r="I106" s="5" t="s">
        <v>776</v>
      </c>
    </row>
    <row r="107" customFormat="false" ht="15" hidden="false" customHeight="false" outlineLevel="0" collapsed="false">
      <c r="A107" s="5" t="s">
        <v>1178</v>
      </c>
      <c r="B107" s="5"/>
      <c r="C107" s="5" t="n">
        <f aca="false">COUNTIF('Observed lines'!$F$2:$F$36,A107)</f>
        <v>0</v>
      </c>
      <c r="D107" s="5" t="n">
        <f aca="false">COUNTIFS('Observed lines'!$F$2:$F$36,A107,'Observed lines'!$G$2:$G$36,"&lt;&gt;")</f>
        <v>0</v>
      </c>
      <c r="E107" s="8" t="str">
        <f aca="false">IF(D107=0,"",_xlfn.MINIFS('Observed lines'!$G$2:$G$36,'Observed lines'!$F$2:$F$36,A107))</f>
        <v/>
      </c>
      <c r="F107" s="8" t="str">
        <f aca="false">IF(D107=0,"",_xlfn.MAXIFS('Observed lines'!$G$2:$G$36,'Observed lines'!$F$2:$F$36,A107))</f>
        <v/>
      </c>
      <c r="G107" s="5" t="str">
        <f aca="false">IF(D107=0,"none seen",IF(E107=F107,TEXT(E107,"$#,##0.00"),TEXT(E107,"$#,##0.00")&amp;" – "&amp;TEXT(F107,"$#,##0.00")))</f>
        <v>none seen</v>
      </c>
      <c r="H107" s="5" t="s">
        <v>1610</v>
      </c>
      <c r="I107" s="5" t="s">
        <v>776</v>
      </c>
    </row>
    <row r="108" customFormat="false" ht="15" hidden="false" customHeight="false" outlineLevel="0" collapsed="false">
      <c r="A108" s="5" t="s">
        <v>1179</v>
      </c>
      <c r="B108" s="5"/>
      <c r="C108" s="5" t="n">
        <f aca="false">COUNTIF('Observed lines'!$F$2:$F$36,A108)</f>
        <v>0</v>
      </c>
      <c r="D108" s="5" t="n">
        <f aca="false">COUNTIFS('Observed lines'!$F$2:$F$36,A108,'Observed lines'!$G$2:$G$36,"&lt;&gt;")</f>
        <v>0</v>
      </c>
      <c r="E108" s="8" t="str">
        <f aca="false">IF(D108=0,"",_xlfn.MINIFS('Observed lines'!$G$2:$G$36,'Observed lines'!$F$2:$F$36,A108))</f>
        <v/>
      </c>
      <c r="F108" s="8" t="str">
        <f aca="false">IF(D108=0,"",_xlfn.MAXIFS('Observed lines'!$G$2:$G$36,'Observed lines'!$F$2:$F$36,A108))</f>
        <v/>
      </c>
      <c r="G108" s="5" t="str">
        <f aca="false">IF(D108=0,"none seen",IF(E108=F108,TEXT(E108,"$#,##0.00"),TEXT(E108,"$#,##0.00")&amp;" – "&amp;TEXT(F108,"$#,##0.00")))</f>
        <v>none seen</v>
      </c>
      <c r="H108" s="5" t="s">
        <v>1610</v>
      </c>
      <c r="I108" s="5" t="s">
        <v>776</v>
      </c>
    </row>
    <row r="109" customFormat="false" ht="15" hidden="false" customHeight="false" outlineLevel="0" collapsed="false">
      <c r="A109" s="5" t="s">
        <v>1180</v>
      </c>
      <c r="B109" s="5"/>
      <c r="C109" s="5" t="n">
        <f aca="false">COUNTIF('Observed lines'!$F$2:$F$36,A109)</f>
        <v>0</v>
      </c>
      <c r="D109" s="5" t="n">
        <f aca="false">COUNTIFS('Observed lines'!$F$2:$F$36,A109,'Observed lines'!$G$2:$G$36,"&lt;&gt;")</f>
        <v>0</v>
      </c>
      <c r="E109" s="8" t="str">
        <f aca="false">IF(D109=0,"",_xlfn.MINIFS('Observed lines'!$G$2:$G$36,'Observed lines'!$F$2:$F$36,A109))</f>
        <v/>
      </c>
      <c r="F109" s="8" t="str">
        <f aca="false">IF(D109=0,"",_xlfn.MAXIFS('Observed lines'!$G$2:$G$36,'Observed lines'!$F$2:$F$36,A109))</f>
        <v/>
      </c>
      <c r="G109" s="5" t="str">
        <f aca="false">IF(D109=0,"none seen",IF(E109=F109,TEXT(E109,"$#,##0.00"),TEXT(E109,"$#,##0.00")&amp;" – "&amp;TEXT(F109,"$#,##0.00")))</f>
        <v>none seen</v>
      </c>
      <c r="H109" s="5" t="s">
        <v>1610</v>
      </c>
      <c r="I109" s="5" t="s">
        <v>776</v>
      </c>
    </row>
    <row r="110" customFormat="false" ht="15" hidden="false" customHeight="false" outlineLevel="0" collapsed="false">
      <c r="A110" s="5" t="s">
        <v>1181</v>
      </c>
      <c r="B110" s="5"/>
      <c r="C110" s="5" t="n">
        <f aca="false">COUNTIF('Observed lines'!$F$2:$F$36,A110)</f>
        <v>0</v>
      </c>
      <c r="D110" s="5" t="n">
        <f aca="false">COUNTIFS('Observed lines'!$F$2:$F$36,A110,'Observed lines'!$G$2:$G$36,"&lt;&gt;")</f>
        <v>0</v>
      </c>
      <c r="E110" s="8" t="str">
        <f aca="false">IF(D110=0,"",_xlfn.MINIFS('Observed lines'!$G$2:$G$36,'Observed lines'!$F$2:$F$36,A110))</f>
        <v/>
      </c>
      <c r="F110" s="8" t="str">
        <f aca="false">IF(D110=0,"",_xlfn.MAXIFS('Observed lines'!$G$2:$G$36,'Observed lines'!$F$2:$F$36,A110))</f>
        <v/>
      </c>
      <c r="G110" s="5" t="str">
        <f aca="false">IF(D110=0,"none seen",IF(E110=F110,TEXT(E110,"$#,##0.00"),TEXT(E110,"$#,##0.00")&amp;" – "&amp;TEXT(F110,"$#,##0.00")))</f>
        <v>none seen</v>
      </c>
      <c r="H110" s="5" t="s">
        <v>1610</v>
      </c>
      <c r="I110" s="5" t="s">
        <v>776</v>
      </c>
    </row>
    <row r="111" customFormat="false" ht="15" hidden="false" customHeight="false" outlineLevel="0" collapsed="false">
      <c r="A111" s="5" t="s">
        <v>1182</v>
      </c>
      <c r="B111" s="5"/>
      <c r="C111" s="5" t="n">
        <f aca="false">COUNTIF('Observed lines'!$F$2:$F$36,A111)</f>
        <v>0</v>
      </c>
      <c r="D111" s="5" t="n">
        <f aca="false">COUNTIFS('Observed lines'!$F$2:$F$36,A111,'Observed lines'!$G$2:$G$36,"&lt;&gt;")</f>
        <v>0</v>
      </c>
      <c r="E111" s="8" t="str">
        <f aca="false">IF(D111=0,"",_xlfn.MINIFS('Observed lines'!$G$2:$G$36,'Observed lines'!$F$2:$F$36,A111))</f>
        <v/>
      </c>
      <c r="F111" s="8" t="str">
        <f aca="false">IF(D111=0,"",_xlfn.MAXIFS('Observed lines'!$G$2:$G$36,'Observed lines'!$F$2:$F$36,A111))</f>
        <v/>
      </c>
      <c r="G111" s="5" t="str">
        <f aca="false">IF(D111=0,"none seen",IF(E111=F111,TEXT(E111,"$#,##0.00"),TEXT(E111,"$#,##0.00")&amp;" – "&amp;TEXT(F111,"$#,##0.00")))</f>
        <v>none seen</v>
      </c>
      <c r="H111" s="5" t="s">
        <v>1610</v>
      </c>
      <c r="I111" s="5" t="s">
        <v>776</v>
      </c>
    </row>
    <row r="112" customFormat="false" ht="15" hidden="false" customHeight="false" outlineLevel="0" collapsed="false">
      <c r="A112" s="5" t="s">
        <v>1183</v>
      </c>
      <c r="B112" s="5"/>
      <c r="C112" s="5" t="n">
        <f aca="false">COUNTIF('Observed lines'!$F$2:$F$36,A112)</f>
        <v>0</v>
      </c>
      <c r="D112" s="5" t="n">
        <f aca="false">COUNTIFS('Observed lines'!$F$2:$F$36,A112,'Observed lines'!$G$2:$G$36,"&lt;&gt;")</f>
        <v>0</v>
      </c>
      <c r="E112" s="8" t="str">
        <f aca="false">IF(D112=0,"",_xlfn.MINIFS('Observed lines'!$G$2:$G$36,'Observed lines'!$F$2:$F$36,A112))</f>
        <v/>
      </c>
      <c r="F112" s="8" t="str">
        <f aca="false">IF(D112=0,"",_xlfn.MAXIFS('Observed lines'!$G$2:$G$36,'Observed lines'!$F$2:$F$36,A112))</f>
        <v/>
      </c>
      <c r="G112" s="5" t="str">
        <f aca="false">IF(D112=0,"none seen",IF(E112=F112,TEXT(E112,"$#,##0.00"),TEXT(E112,"$#,##0.00")&amp;" – "&amp;TEXT(F112,"$#,##0.00")))</f>
        <v>none seen</v>
      </c>
      <c r="H112" s="5" t="s">
        <v>1610</v>
      </c>
      <c r="I112" s="5" t="s">
        <v>776</v>
      </c>
    </row>
    <row r="113" customFormat="false" ht="15" hidden="false" customHeight="false" outlineLevel="0" collapsed="false">
      <c r="A113" s="5" t="s">
        <v>1184</v>
      </c>
      <c r="B113" s="5"/>
      <c r="C113" s="5" t="n">
        <f aca="false">COUNTIF('Observed lines'!$F$2:$F$36,A113)</f>
        <v>0</v>
      </c>
      <c r="D113" s="5" t="n">
        <f aca="false">COUNTIFS('Observed lines'!$F$2:$F$36,A113,'Observed lines'!$G$2:$G$36,"&lt;&gt;")</f>
        <v>0</v>
      </c>
      <c r="E113" s="8" t="str">
        <f aca="false">IF(D113=0,"",_xlfn.MINIFS('Observed lines'!$G$2:$G$36,'Observed lines'!$F$2:$F$36,A113))</f>
        <v/>
      </c>
      <c r="F113" s="8" t="str">
        <f aca="false">IF(D113=0,"",_xlfn.MAXIFS('Observed lines'!$G$2:$G$36,'Observed lines'!$F$2:$F$36,A113))</f>
        <v/>
      </c>
      <c r="G113" s="5" t="str">
        <f aca="false">IF(D113=0,"none seen",IF(E113=F113,TEXT(E113,"$#,##0.00"),TEXT(E113,"$#,##0.00")&amp;" – "&amp;TEXT(F113,"$#,##0.00")))</f>
        <v>none seen</v>
      </c>
      <c r="H113" s="5" t="s">
        <v>1610</v>
      </c>
      <c r="I113" s="5" t="s">
        <v>776</v>
      </c>
    </row>
    <row r="114" customFormat="false" ht="15" hidden="false" customHeight="false" outlineLevel="0" collapsed="false">
      <c r="A114" s="5" t="s">
        <v>1185</v>
      </c>
      <c r="B114" s="5"/>
      <c r="C114" s="5" t="n">
        <f aca="false">COUNTIF('Observed lines'!$F$2:$F$36,A114)</f>
        <v>0</v>
      </c>
      <c r="D114" s="5" t="n">
        <f aca="false">COUNTIFS('Observed lines'!$F$2:$F$36,A114,'Observed lines'!$G$2:$G$36,"&lt;&gt;")</f>
        <v>0</v>
      </c>
      <c r="E114" s="8" t="str">
        <f aca="false">IF(D114=0,"",_xlfn.MINIFS('Observed lines'!$G$2:$G$36,'Observed lines'!$F$2:$F$36,A114))</f>
        <v/>
      </c>
      <c r="F114" s="8" t="str">
        <f aca="false">IF(D114=0,"",_xlfn.MAXIFS('Observed lines'!$G$2:$G$36,'Observed lines'!$F$2:$F$36,A114))</f>
        <v/>
      </c>
      <c r="G114" s="5" t="str">
        <f aca="false">IF(D114=0,"none seen",IF(E114=F114,TEXT(E114,"$#,##0.00"),TEXT(E114,"$#,##0.00")&amp;" – "&amp;TEXT(F114,"$#,##0.00")))</f>
        <v>none seen</v>
      </c>
      <c r="H114" s="5" t="s">
        <v>1610</v>
      </c>
      <c r="I114" s="5" t="s">
        <v>776</v>
      </c>
    </row>
    <row r="115" customFormat="false" ht="15" hidden="false" customHeight="false" outlineLevel="0" collapsed="false">
      <c r="A115" s="5" t="s">
        <v>1186</v>
      </c>
      <c r="B115" s="5"/>
      <c r="C115" s="5" t="n">
        <f aca="false">COUNTIF('Observed lines'!$F$2:$F$36,A115)</f>
        <v>0</v>
      </c>
      <c r="D115" s="5" t="n">
        <f aca="false">COUNTIFS('Observed lines'!$F$2:$F$36,A115,'Observed lines'!$G$2:$G$36,"&lt;&gt;")</f>
        <v>0</v>
      </c>
      <c r="E115" s="8" t="str">
        <f aca="false">IF(D115=0,"",_xlfn.MINIFS('Observed lines'!$G$2:$G$36,'Observed lines'!$F$2:$F$36,A115))</f>
        <v/>
      </c>
      <c r="F115" s="8" t="str">
        <f aca="false">IF(D115=0,"",_xlfn.MAXIFS('Observed lines'!$G$2:$G$36,'Observed lines'!$F$2:$F$36,A115))</f>
        <v/>
      </c>
      <c r="G115" s="5" t="str">
        <f aca="false">IF(D115=0,"none seen",IF(E115=F115,TEXT(E115,"$#,##0.00"),TEXT(E115,"$#,##0.00")&amp;" – "&amp;TEXT(F115,"$#,##0.00")))</f>
        <v>none seen</v>
      </c>
      <c r="H115" s="5" t="s">
        <v>1610</v>
      </c>
      <c r="I115" s="5" t="s">
        <v>776</v>
      </c>
    </row>
    <row r="116" customFormat="false" ht="15" hidden="false" customHeight="false" outlineLevel="0" collapsed="false">
      <c r="A116" s="5" t="s">
        <v>1187</v>
      </c>
      <c r="B116" s="5" t="s">
        <v>1188</v>
      </c>
      <c r="C116" s="5" t="n">
        <f aca="false">COUNTIF('Observed lines'!$F$2:$F$36,A116)</f>
        <v>1</v>
      </c>
      <c r="D116" s="5" t="n">
        <f aca="false">COUNTIFS('Observed lines'!$F$2:$F$36,A116,'Observed lines'!$G$2:$G$36,"&lt;&gt;")</f>
        <v>0</v>
      </c>
      <c r="E116" s="8" t="str">
        <f aca="false">IF(D116=0,"",_xlfn.MINIFS('Observed lines'!$G$2:$G$36,'Observed lines'!$F$2:$F$36,A116))</f>
        <v/>
      </c>
      <c r="F116" s="8" t="str">
        <f aca="false">IF(D116=0,"",_xlfn.MAXIFS('Observed lines'!$G$2:$G$36,'Observed lines'!$F$2:$F$36,A116))</f>
        <v/>
      </c>
      <c r="G116" s="5" t="str">
        <f aca="false">IF(D116=0,"none seen",IF(E116=F116,TEXT(E116,"$#,##0.00"),TEXT(E116,"$#,##0.00")&amp;" – "&amp;TEXT(F116,"$#,##0.00")))</f>
        <v>none seen</v>
      </c>
      <c r="H116" s="5" t="s">
        <v>1611</v>
      </c>
      <c r="I116" s="5" t="s">
        <v>776</v>
      </c>
    </row>
    <row r="117" customFormat="false" ht="15" hidden="false" customHeight="false" outlineLevel="0" collapsed="false">
      <c r="A117" s="5" t="s">
        <v>1190</v>
      </c>
      <c r="B117" s="5"/>
      <c r="C117" s="5" t="n">
        <f aca="false">COUNTIF('Observed lines'!$F$2:$F$36,A117)</f>
        <v>0</v>
      </c>
      <c r="D117" s="5" t="n">
        <f aca="false">COUNTIFS('Observed lines'!$F$2:$F$36,A117,'Observed lines'!$G$2:$G$36,"&lt;&gt;")</f>
        <v>0</v>
      </c>
      <c r="E117" s="8" t="str">
        <f aca="false">IF(D117=0,"",_xlfn.MINIFS('Observed lines'!$G$2:$G$36,'Observed lines'!$F$2:$F$36,A117))</f>
        <v/>
      </c>
      <c r="F117" s="8" t="str">
        <f aca="false">IF(D117=0,"",_xlfn.MAXIFS('Observed lines'!$G$2:$G$36,'Observed lines'!$F$2:$F$36,A117))</f>
        <v/>
      </c>
      <c r="G117" s="5" t="str">
        <f aca="false">IF(D117=0,"none seen",IF(E117=F117,TEXT(E117,"$#,##0.00"),TEXT(E117,"$#,##0.00")&amp;" – "&amp;TEXT(F117,"$#,##0.00")))</f>
        <v>none seen</v>
      </c>
      <c r="H117" s="5" t="s">
        <v>1610</v>
      </c>
      <c r="I117" s="5" t="s">
        <v>776</v>
      </c>
    </row>
    <row r="118" customFormat="false" ht="15" hidden="false" customHeight="false" outlineLevel="0" collapsed="false">
      <c r="A118" s="5" t="s">
        <v>1191</v>
      </c>
      <c r="B118" s="5"/>
      <c r="C118" s="5" t="n">
        <f aca="false">COUNTIF('Observed lines'!$F$2:$F$36,A118)</f>
        <v>0</v>
      </c>
      <c r="D118" s="5" t="n">
        <f aca="false">COUNTIFS('Observed lines'!$F$2:$F$36,A118,'Observed lines'!$G$2:$G$36,"&lt;&gt;")</f>
        <v>0</v>
      </c>
      <c r="E118" s="8" t="str">
        <f aca="false">IF(D118=0,"",_xlfn.MINIFS('Observed lines'!$G$2:$G$36,'Observed lines'!$F$2:$F$36,A118))</f>
        <v/>
      </c>
      <c r="F118" s="8" t="str">
        <f aca="false">IF(D118=0,"",_xlfn.MAXIFS('Observed lines'!$G$2:$G$36,'Observed lines'!$F$2:$F$36,A118))</f>
        <v/>
      </c>
      <c r="G118" s="5" t="str">
        <f aca="false">IF(D118=0,"none seen",IF(E118=F118,TEXT(E118,"$#,##0.00"),TEXT(E118,"$#,##0.00")&amp;" – "&amp;TEXT(F118,"$#,##0.00")))</f>
        <v>none seen</v>
      </c>
      <c r="H118" s="5" t="s">
        <v>1610</v>
      </c>
      <c r="I118" s="5" t="s">
        <v>776</v>
      </c>
    </row>
    <row r="119" customFormat="false" ht="15" hidden="false" customHeight="false" outlineLevel="0" collapsed="false">
      <c r="A119" s="5" t="s">
        <v>1192</v>
      </c>
      <c r="B119" s="5"/>
      <c r="C119" s="5" t="n">
        <f aca="false">COUNTIF('Observed lines'!$F$2:$F$36,A119)</f>
        <v>0</v>
      </c>
      <c r="D119" s="5" t="n">
        <f aca="false">COUNTIFS('Observed lines'!$F$2:$F$36,A119,'Observed lines'!$G$2:$G$36,"&lt;&gt;")</f>
        <v>0</v>
      </c>
      <c r="E119" s="8" t="str">
        <f aca="false">IF(D119=0,"",_xlfn.MINIFS('Observed lines'!$G$2:$G$36,'Observed lines'!$F$2:$F$36,A119))</f>
        <v/>
      </c>
      <c r="F119" s="8" t="str">
        <f aca="false">IF(D119=0,"",_xlfn.MAXIFS('Observed lines'!$G$2:$G$36,'Observed lines'!$F$2:$F$36,A119))</f>
        <v/>
      </c>
      <c r="G119" s="5" t="str">
        <f aca="false">IF(D119=0,"none seen",IF(E119=F119,TEXT(E119,"$#,##0.00"),TEXT(E119,"$#,##0.00")&amp;" – "&amp;TEXT(F119,"$#,##0.00")))</f>
        <v>none seen</v>
      </c>
      <c r="H119" s="5" t="s">
        <v>1610</v>
      </c>
      <c r="I119" s="5" t="s">
        <v>776</v>
      </c>
    </row>
    <row r="120" customFormat="false" ht="15" hidden="false" customHeight="false" outlineLevel="0" collapsed="false">
      <c r="A120" s="5" t="s">
        <v>1193</v>
      </c>
      <c r="B120" s="5"/>
      <c r="C120" s="5" t="n">
        <f aca="false">COUNTIF('Observed lines'!$F$2:$F$36,A120)</f>
        <v>0</v>
      </c>
      <c r="D120" s="5" t="n">
        <f aca="false">COUNTIFS('Observed lines'!$F$2:$F$36,A120,'Observed lines'!$G$2:$G$36,"&lt;&gt;")</f>
        <v>0</v>
      </c>
      <c r="E120" s="8" t="str">
        <f aca="false">IF(D120=0,"",_xlfn.MINIFS('Observed lines'!$G$2:$G$36,'Observed lines'!$F$2:$F$36,A120))</f>
        <v/>
      </c>
      <c r="F120" s="8" t="str">
        <f aca="false">IF(D120=0,"",_xlfn.MAXIFS('Observed lines'!$G$2:$G$36,'Observed lines'!$F$2:$F$36,A120))</f>
        <v/>
      </c>
      <c r="G120" s="5" t="str">
        <f aca="false">IF(D120=0,"none seen",IF(E120=F120,TEXT(E120,"$#,##0.00"),TEXT(E120,"$#,##0.00")&amp;" – "&amp;TEXT(F120,"$#,##0.00")))</f>
        <v>none seen</v>
      </c>
      <c r="H120" s="5" t="s">
        <v>1610</v>
      </c>
      <c r="I120" s="5" t="s">
        <v>776</v>
      </c>
    </row>
    <row r="121" customFormat="false" ht="15" hidden="false" customHeight="false" outlineLevel="0" collapsed="false">
      <c r="A121" s="5" t="s">
        <v>1194</v>
      </c>
      <c r="B121" s="5"/>
      <c r="C121" s="5" t="n">
        <f aca="false">COUNTIF('Observed lines'!$F$2:$F$36,A121)</f>
        <v>0</v>
      </c>
      <c r="D121" s="5" t="n">
        <f aca="false">COUNTIFS('Observed lines'!$F$2:$F$36,A121,'Observed lines'!$G$2:$G$36,"&lt;&gt;")</f>
        <v>0</v>
      </c>
      <c r="E121" s="8" t="str">
        <f aca="false">IF(D121=0,"",_xlfn.MINIFS('Observed lines'!$G$2:$G$36,'Observed lines'!$F$2:$F$36,A121))</f>
        <v/>
      </c>
      <c r="F121" s="8" t="str">
        <f aca="false">IF(D121=0,"",_xlfn.MAXIFS('Observed lines'!$G$2:$G$36,'Observed lines'!$F$2:$F$36,A121))</f>
        <v/>
      </c>
      <c r="G121" s="5" t="str">
        <f aca="false">IF(D121=0,"none seen",IF(E121=F121,TEXT(E121,"$#,##0.00"),TEXT(E121,"$#,##0.00")&amp;" – "&amp;TEXT(F121,"$#,##0.00")))</f>
        <v>none seen</v>
      </c>
      <c r="H121" s="5" t="s">
        <v>1610</v>
      </c>
      <c r="I121" s="5" t="s">
        <v>776</v>
      </c>
    </row>
    <row r="122" customFormat="false" ht="15" hidden="false" customHeight="false" outlineLevel="0" collapsed="false">
      <c r="A122" s="5" t="s">
        <v>1195</v>
      </c>
      <c r="B122" s="5"/>
      <c r="C122" s="5" t="n">
        <f aca="false">COUNTIF('Observed lines'!$F$2:$F$36,A122)</f>
        <v>0</v>
      </c>
      <c r="D122" s="5" t="n">
        <f aca="false">COUNTIFS('Observed lines'!$F$2:$F$36,A122,'Observed lines'!$G$2:$G$36,"&lt;&gt;")</f>
        <v>0</v>
      </c>
      <c r="E122" s="8" t="str">
        <f aca="false">IF(D122=0,"",_xlfn.MINIFS('Observed lines'!$G$2:$G$36,'Observed lines'!$F$2:$F$36,A122))</f>
        <v/>
      </c>
      <c r="F122" s="8" t="str">
        <f aca="false">IF(D122=0,"",_xlfn.MAXIFS('Observed lines'!$G$2:$G$36,'Observed lines'!$F$2:$F$36,A122))</f>
        <v/>
      </c>
      <c r="G122" s="5" t="str">
        <f aca="false">IF(D122=0,"none seen",IF(E122=F122,TEXT(E122,"$#,##0.00"),TEXT(E122,"$#,##0.00")&amp;" – "&amp;TEXT(F122,"$#,##0.00")))</f>
        <v>none seen</v>
      </c>
      <c r="H122" s="5" t="s">
        <v>1610</v>
      </c>
      <c r="I122" s="5" t="s">
        <v>776</v>
      </c>
    </row>
    <row r="123" customFormat="false" ht="15" hidden="false" customHeight="false" outlineLevel="0" collapsed="false">
      <c r="A123" s="5" t="s">
        <v>1196</v>
      </c>
      <c r="B123" s="5"/>
      <c r="C123" s="5" t="n">
        <f aca="false">COUNTIF('Observed lines'!$F$2:$F$36,A123)</f>
        <v>0</v>
      </c>
      <c r="D123" s="5" t="n">
        <f aca="false">COUNTIFS('Observed lines'!$F$2:$F$36,A123,'Observed lines'!$G$2:$G$36,"&lt;&gt;")</f>
        <v>0</v>
      </c>
      <c r="E123" s="8" t="str">
        <f aca="false">IF(D123=0,"",_xlfn.MINIFS('Observed lines'!$G$2:$G$36,'Observed lines'!$F$2:$F$36,A123))</f>
        <v/>
      </c>
      <c r="F123" s="8" t="str">
        <f aca="false">IF(D123=0,"",_xlfn.MAXIFS('Observed lines'!$G$2:$G$36,'Observed lines'!$F$2:$F$36,A123))</f>
        <v/>
      </c>
      <c r="G123" s="5" t="str">
        <f aca="false">IF(D123=0,"none seen",IF(E123=F123,TEXT(E123,"$#,##0.00"),TEXT(E123,"$#,##0.00")&amp;" – "&amp;TEXT(F123,"$#,##0.00")))</f>
        <v>none seen</v>
      </c>
      <c r="H123" s="5" t="s">
        <v>1610</v>
      </c>
      <c r="I123" s="5" t="s">
        <v>776</v>
      </c>
    </row>
    <row r="124" customFormat="false" ht="15" hidden="false" customHeight="false" outlineLevel="0" collapsed="false">
      <c r="A124" s="5" t="s">
        <v>1197</v>
      </c>
      <c r="B124" s="5"/>
      <c r="C124" s="5" t="n">
        <f aca="false">COUNTIF('Observed lines'!$F$2:$F$36,A124)</f>
        <v>0</v>
      </c>
      <c r="D124" s="5" t="n">
        <f aca="false">COUNTIFS('Observed lines'!$F$2:$F$36,A124,'Observed lines'!$G$2:$G$36,"&lt;&gt;")</f>
        <v>0</v>
      </c>
      <c r="E124" s="8" t="str">
        <f aca="false">IF(D124=0,"",_xlfn.MINIFS('Observed lines'!$G$2:$G$36,'Observed lines'!$F$2:$F$36,A124))</f>
        <v/>
      </c>
      <c r="F124" s="8" t="str">
        <f aca="false">IF(D124=0,"",_xlfn.MAXIFS('Observed lines'!$G$2:$G$36,'Observed lines'!$F$2:$F$36,A124))</f>
        <v/>
      </c>
      <c r="G124" s="5" t="str">
        <f aca="false">IF(D124=0,"none seen",IF(E124=F124,TEXT(E124,"$#,##0.00"),TEXT(E124,"$#,##0.00")&amp;" – "&amp;TEXT(F124,"$#,##0.00")))</f>
        <v>none seen</v>
      </c>
      <c r="H124" s="5" t="s">
        <v>1610</v>
      </c>
      <c r="I124" s="5" t="s">
        <v>776</v>
      </c>
    </row>
    <row r="125" customFormat="false" ht="15" hidden="false" customHeight="false" outlineLevel="0" collapsed="false">
      <c r="A125" s="5" t="s">
        <v>1198</v>
      </c>
      <c r="B125" s="5"/>
      <c r="C125" s="5" t="n">
        <f aca="false">COUNTIF('Observed lines'!$F$2:$F$36,A125)</f>
        <v>0</v>
      </c>
      <c r="D125" s="5" t="n">
        <f aca="false">COUNTIFS('Observed lines'!$F$2:$F$36,A125,'Observed lines'!$G$2:$G$36,"&lt;&gt;")</f>
        <v>0</v>
      </c>
      <c r="E125" s="8" t="str">
        <f aca="false">IF(D125=0,"",_xlfn.MINIFS('Observed lines'!$G$2:$G$36,'Observed lines'!$F$2:$F$36,A125))</f>
        <v/>
      </c>
      <c r="F125" s="8" t="str">
        <f aca="false">IF(D125=0,"",_xlfn.MAXIFS('Observed lines'!$G$2:$G$36,'Observed lines'!$F$2:$F$36,A125))</f>
        <v/>
      </c>
      <c r="G125" s="5" t="str">
        <f aca="false">IF(D125=0,"none seen",IF(E125=F125,TEXT(E125,"$#,##0.00"),TEXT(E125,"$#,##0.00")&amp;" – "&amp;TEXT(F125,"$#,##0.00")))</f>
        <v>none seen</v>
      </c>
      <c r="H125" s="5" t="s">
        <v>1610</v>
      </c>
      <c r="I125" s="5" t="s">
        <v>776</v>
      </c>
    </row>
    <row r="126" customFormat="false" ht="15" hidden="false" customHeight="false" outlineLevel="0" collapsed="false">
      <c r="A126" s="5" t="s">
        <v>1199</v>
      </c>
      <c r="B126" s="5"/>
      <c r="C126" s="5" t="n">
        <f aca="false">COUNTIF('Observed lines'!$F$2:$F$36,A126)</f>
        <v>0</v>
      </c>
      <c r="D126" s="5" t="n">
        <f aca="false">COUNTIFS('Observed lines'!$F$2:$F$36,A126,'Observed lines'!$G$2:$G$36,"&lt;&gt;")</f>
        <v>0</v>
      </c>
      <c r="E126" s="8" t="str">
        <f aca="false">IF(D126=0,"",_xlfn.MINIFS('Observed lines'!$G$2:$G$36,'Observed lines'!$F$2:$F$36,A126))</f>
        <v/>
      </c>
      <c r="F126" s="8" t="str">
        <f aca="false">IF(D126=0,"",_xlfn.MAXIFS('Observed lines'!$G$2:$G$36,'Observed lines'!$F$2:$F$36,A126))</f>
        <v/>
      </c>
      <c r="G126" s="5" t="str">
        <f aca="false">IF(D126=0,"none seen",IF(E126=F126,TEXT(E126,"$#,##0.00"),TEXT(E126,"$#,##0.00")&amp;" – "&amp;TEXT(F126,"$#,##0.00")))</f>
        <v>none seen</v>
      </c>
      <c r="H126" s="5" t="s">
        <v>1610</v>
      </c>
      <c r="I126" s="5" t="s">
        <v>776</v>
      </c>
    </row>
    <row r="127" customFormat="false" ht="15" hidden="false" customHeight="false" outlineLevel="0" collapsed="false">
      <c r="A127" s="5" t="s">
        <v>1200</v>
      </c>
      <c r="B127" s="5" t="s">
        <v>1201</v>
      </c>
      <c r="C127" s="5" t="n">
        <f aca="false">COUNTIF('Observed lines'!$F$2:$F$36,A127)</f>
        <v>1</v>
      </c>
      <c r="D127" s="5" t="n">
        <f aca="false">COUNTIFS('Observed lines'!$F$2:$F$36,A127,'Observed lines'!$G$2:$G$36,"&lt;&gt;")</f>
        <v>1</v>
      </c>
      <c r="E127" s="8" t="n">
        <f aca="false">IF(D127=0,"",_xlfn.MINIFS('Observed lines'!$G$2:$G$36,'Observed lines'!$F$2:$F$36,A127))</f>
        <v>775.52</v>
      </c>
      <c r="F127" s="8" t="n">
        <f aca="false">IF(D127=0,"",_xlfn.MAXIFS('Observed lines'!$G$2:$G$36,'Observed lines'!$F$2:$F$36,A127))</f>
        <v>775.52</v>
      </c>
      <c r="G127" s="5" t="str">
        <f aca="false">IF(D127=0,"none seen",IF(E127=F127,TEXT(E127,"$#,##0.00"),TEXT(E127,"$#,##0.00")&amp;" – "&amp;TEXT(F127,"$#,##0.00")))</f>
        <v>$775.52</v>
      </c>
      <c r="H127" s="5" t="s">
        <v>1611</v>
      </c>
      <c r="I127" s="5" t="s">
        <v>776</v>
      </c>
    </row>
    <row r="128" customFormat="false" ht="15" hidden="false" customHeight="false" outlineLevel="0" collapsed="false">
      <c r="A128" s="5" t="s">
        <v>1203</v>
      </c>
      <c r="B128" s="5"/>
      <c r="C128" s="5" t="n">
        <f aca="false">COUNTIF('Observed lines'!$F$2:$F$36,A128)</f>
        <v>0</v>
      </c>
      <c r="D128" s="5" t="n">
        <f aca="false">COUNTIFS('Observed lines'!$F$2:$F$36,A128,'Observed lines'!$G$2:$G$36,"&lt;&gt;")</f>
        <v>0</v>
      </c>
      <c r="E128" s="8" t="str">
        <f aca="false">IF(D128=0,"",_xlfn.MINIFS('Observed lines'!$G$2:$G$36,'Observed lines'!$F$2:$F$36,A128))</f>
        <v/>
      </c>
      <c r="F128" s="8" t="str">
        <f aca="false">IF(D128=0,"",_xlfn.MAXIFS('Observed lines'!$G$2:$G$36,'Observed lines'!$F$2:$F$36,A128))</f>
        <v/>
      </c>
      <c r="G128" s="5" t="str">
        <f aca="false">IF(D128=0,"none seen",IF(E128=F128,TEXT(E128,"$#,##0.00"),TEXT(E128,"$#,##0.00")&amp;" – "&amp;TEXT(F128,"$#,##0.00")))</f>
        <v>none seen</v>
      </c>
      <c r="H128" s="5" t="s">
        <v>1610</v>
      </c>
      <c r="I128" s="5" t="s">
        <v>776</v>
      </c>
    </row>
    <row r="129" customFormat="false" ht="15" hidden="false" customHeight="false" outlineLevel="0" collapsed="false">
      <c r="A129" s="5" t="s">
        <v>1204</v>
      </c>
      <c r="B129" s="5"/>
      <c r="C129" s="5" t="n">
        <f aca="false">COUNTIF('Observed lines'!$F$2:$F$36,A129)</f>
        <v>0</v>
      </c>
      <c r="D129" s="5" t="n">
        <f aca="false">COUNTIFS('Observed lines'!$F$2:$F$36,A129,'Observed lines'!$G$2:$G$36,"&lt;&gt;")</f>
        <v>0</v>
      </c>
      <c r="E129" s="8" t="str">
        <f aca="false">IF(D129=0,"",_xlfn.MINIFS('Observed lines'!$G$2:$G$36,'Observed lines'!$F$2:$F$36,A129))</f>
        <v/>
      </c>
      <c r="F129" s="8" t="str">
        <f aca="false">IF(D129=0,"",_xlfn.MAXIFS('Observed lines'!$G$2:$G$36,'Observed lines'!$F$2:$F$36,A129))</f>
        <v/>
      </c>
      <c r="G129" s="5" t="str">
        <f aca="false">IF(D129=0,"none seen",IF(E129=F129,TEXT(E129,"$#,##0.00"),TEXT(E129,"$#,##0.00")&amp;" – "&amp;TEXT(F129,"$#,##0.00")))</f>
        <v>none seen</v>
      </c>
      <c r="H129" s="5" t="s">
        <v>1610</v>
      </c>
      <c r="I129" s="5" t="s">
        <v>776</v>
      </c>
    </row>
    <row r="130" customFormat="false" ht="15" hidden="false" customHeight="false" outlineLevel="0" collapsed="false">
      <c r="A130" s="5" t="s">
        <v>1205</v>
      </c>
      <c r="B130" s="5"/>
      <c r="C130" s="5" t="n">
        <f aca="false">COUNTIF('Observed lines'!$F$2:$F$36,A130)</f>
        <v>0</v>
      </c>
      <c r="D130" s="5" t="n">
        <f aca="false">COUNTIFS('Observed lines'!$F$2:$F$36,A130,'Observed lines'!$G$2:$G$36,"&lt;&gt;")</f>
        <v>0</v>
      </c>
      <c r="E130" s="8" t="str">
        <f aca="false">IF(D130=0,"",_xlfn.MINIFS('Observed lines'!$G$2:$G$36,'Observed lines'!$F$2:$F$36,A130))</f>
        <v/>
      </c>
      <c r="F130" s="8" t="str">
        <f aca="false">IF(D130=0,"",_xlfn.MAXIFS('Observed lines'!$G$2:$G$36,'Observed lines'!$F$2:$F$36,A130))</f>
        <v/>
      </c>
      <c r="G130" s="5" t="str">
        <f aca="false">IF(D130=0,"none seen",IF(E130=F130,TEXT(E130,"$#,##0.00"),TEXT(E130,"$#,##0.00")&amp;" – "&amp;TEXT(F130,"$#,##0.00")))</f>
        <v>none seen</v>
      </c>
      <c r="H130" s="5" t="s">
        <v>1610</v>
      </c>
      <c r="I130" s="5" t="s">
        <v>776</v>
      </c>
    </row>
    <row r="131" customFormat="false" ht="15" hidden="false" customHeight="false" outlineLevel="0" collapsed="false">
      <c r="A131" s="5" t="s">
        <v>1206</v>
      </c>
      <c r="B131" s="5"/>
      <c r="C131" s="5" t="n">
        <f aca="false">COUNTIF('Observed lines'!$F$2:$F$36,A131)</f>
        <v>0</v>
      </c>
      <c r="D131" s="5" t="n">
        <f aca="false">COUNTIFS('Observed lines'!$F$2:$F$36,A131,'Observed lines'!$G$2:$G$36,"&lt;&gt;")</f>
        <v>0</v>
      </c>
      <c r="E131" s="8" t="str">
        <f aca="false">IF(D131=0,"",_xlfn.MINIFS('Observed lines'!$G$2:$G$36,'Observed lines'!$F$2:$F$36,A131))</f>
        <v/>
      </c>
      <c r="F131" s="8" t="str">
        <f aca="false">IF(D131=0,"",_xlfn.MAXIFS('Observed lines'!$G$2:$G$36,'Observed lines'!$F$2:$F$36,A131))</f>
        <v/>
      </c>
      <c r="G131" s="5" t="str">
        <f aca="false">IF(D131=0,"none seen",IF(E131=F131,TEXT(E131,"$#,##0.00"),TEXT(E131,"$#,##0.00")&amp;" – "&amp;TEXT(F131,"$#,##0.00")))</f>
        <v>none seen</v>
      </c>
      <c r="H131" s="5" t="s">
        <v>1610</v>
      </c>
      <c r="I131" s="5" t="s">
        <v>776</v>
      </c>
    </row>
    <row r="132" customFormat="false" ht="15" hidden="false" customHeight="false" outlineLevel="0" collapsed="false">
      <c r="A132" s="5" t="s">
        <v>1207</v>
      </c>
      <c r="B132" s="5"/>
      <c r="C132" s="5" t="n">
        <f aca="false">COUNTIF('Observed lines'!$F$2:$F$36,A132)</f>
        <v>0</v>
      </c>
      <c r="D132" s="5" t="n">
        <f aca="false">COUNTIFS('Observed lines'!$F$2:$F$36,A132,'Observed lines'!$G$2:$G$36,"&lt;&gt;")</f>
        <v>0</v>
      </c>
      <c r="E132" s="8" t="str">
        <f aca="false">IF(D132=0,"",_xlfn.MINIFS('Observed lines'!$G$2:$G$36,'Observed lines'!$F$2:$F$36,A132))</f>
        <v/>
      </c>
      <c r="F132" s="8" t="str">
        <f aca="false">IF(D132=0,"",_xlfn.MAXIFS('Observed lines'!$G$2:$G$36,'Observed lines'!$F$2:$F$36,A132))</f>
        <v/>
      </c>
      <c r="G132" s="5" t="str">
        <f aca="false">IF(D132=0,"none seen",IF(E132=F132,TEXT(E132,"$#,##0.00"),TEXT(E132,"$#,##0.00")&amp;" – "&amp;TEXT(F132,"$#,##0.00")))</f>
        <v>none seen</v>
      </c>
      <c r="H132" s="5" t="s">
        <v>1610</v>
      </c>
      <c r="I132" s="5" t="s">
        <v>776</v>
      </c>
    </row>
    <row r="133" customFormat="false" ht="15" hidden="false" customHeight="false" outlineLevel="0" collapsed="false">
      <c r="A133" s="5" t="s">
        <v>1208</v>
      </c>
      <c r="B133" s="5"/>
      <c r="C133" s="5" t="n">
        <f aca="false">COUNTIF('Observed lines'!$F$2:$F$36,A133)</f>
        <v>0</v>
      </c>
      <c r="D133" s="5" t="n">
        <f aca="false">COUNTIFS('Observed lines'!$F$2:$F$36,A133,'Observed lines'!$G$2:$G$36,"&lt;&gt;")</f>
        <v>0</v>
      </c>
      <c r="E133" s="8" t="str">
        <f aca="false">IF(D133=0,"",_xlfn.MINIFS('Observed lines'!$G$2:$G$36,'Observed lines'!$F$2:$F$36,A133))</f>
        <v/>
      </c>
      <c r="F133" s="8" t="str">
        <f aca="false">IF(D133=0,"",_xlfn.MAXIFS('Observed lines'!$G$2:$G$36,'Observed lines'!$F$2:$F$36,A133))</f>
        <v/>
      </c>
      <c r="G133" s="5" t="str">
        <f aca="false">IF(D133=0,"none seen",IF(E133=F133,TEXT(E133,"$#,##0.00"),TEXT(E133,"$#,##0.00")&amp;" – "&amp;TEXT(F133,"$#,##0.00")))</f>
        <v>none seen</v>
      </c>
      <c r="H133" s="5" t="s">
        <v>1610</v>
      </c>
      <c r="I133" s="5" t="s">
        <v>776</v>
      </c>
    </row>
    <row r="134" customFormat="false" ht="15" hidden="false" customHeight="false" outlineLevel="0" collapsed="false">
      <c r="A134" s="5" t="s">
        <v>1209</v>
      </c>
      <c r="B134" s="5"/>
      <c r="C134" s="5" t="n">
        <f aca="false">COUNTIF('Observed lines'!$F$2:$F$36,A134)</f>
        <v>0</v>
      </c>
      <c r="D134" s="5" t="n">
        <f aca="false">COUNTIFS('Observed lines'!$F$2:$F$36,A134,'Observed lines'!$G$2:$G$36,"&lt;&gt;")</f>
        <v>0</v>
      </c>
      <c r="E134" s="8" t="str">
        <f aca="false">IF(D134=0,"",_xlfn.MINIFS('Observed lines'!$G$2:$G$36,'Observed lines'!$F$2:$F$36,A134))</f>
        <v/>
      </c>
      <c r="F134" s="8" t="str">
        <f aca="false">IF(D134=0,"",_xlfn.MAXIFS('Observed lines'!$G$2:$G$36,'Observed lines'!$F$2:$F$36,A134))</f>
        <v/>
      </c>
      <c r="G134" s="5" t="str">
        <f aca="false">IF(D134=0,"none seen",IF(E134=F134,TEXT(E134,"$#,##0.00"),TEXT(E134,"$#,##0.00")&amp;" – "&amp;TEXT(F134,"$#,##0.00")))</f>
        <v>none seen</v>
      </c>
      <c r="H134" s="5" t="s">
        <v>1610</v>
      </c>
      <c r="I134" s="5" t="s">
        <v>776</v>
      </c>
    </row>
    <row r="135" customFormat="false" ht="15" hidden="false" customHeight="false" outlineLevel="0" collapsed="false">
      <c r="A135" s="5" t="s">
        <v>1210</v>
      </c>
      <c r="B135" s="5"/>
      <c r="C135" s="5" t="n">
        <f aca="false">COUNTIF('Observed lines'!$F$2:$F$36,A135)</f>
        <v>0</v>
      </c>
      <c r="D135" s="5" t="n">
        <f aca="false">COUNTIFS('Observed lines'!$F$2:$F$36,A135,'Observed lines'!$G$2:$G$36,"&lt;&gt;")</f>
        <v>0</v>
      </c>
      <c r="E135" s="8" t="str">
        <f aca="false">IF(D135=0,"",_xlfn.MINIFS('Observed lines'!$G$2:$G$36,'Observed lines'!$F$2:$F$36,A135))</f>
        <v/>
      </c>
      <c r="F135" s="8" t="str">
        <f aca="false">IF(D135=0,"",_xlfn.MAXIFS('Observed lines'!$G$2:$G$36,'Observed lines'!$F$2:$F$36,A135))</f>
        <v/>
      </c>
      <c r="G135" s="5" t="str">
        <f aca="false">IF(D135=0,"none seen",IF(E135=F135,TEXT(E135,"$#,##0.00"),TEXT(E135,"$#,##0.00")&amp;" – "&amp;TEXT(F135,"$#,##0.00")))</f>
        <v>none seen</v>
      </c>
      <c r="H135" s="5" t="s">
        <v>1610</v>
      </c>
      <c r="I135" s="5" t="s">
        <v>776</v>
      </c>
    </row>
    <row r="136" customFormat="false" ht="15" hidden="false" customHeight="false" outlineLevel="0" collapsed="false">
      <c r="A136" s="5" t="s">
        <v>1211</v>
      </c>
      <c r="B136" s="5"/>
      <c r="C136" s="5" t="n">
        <f aca="false">COUNTIF('Observed lines'!$F$2:$F$36,A136)</f>
        <v>0</v>
      </c>
      <c r="D136" s="5" t="n">
        <f aca="false">COUNTIFS('Observed lines'!$F$2:$F$36,A136,'Observed lines'!$G$2:$G$36,"&lt;&gt;")</f>
        <v>0</v>
      </c>
      <c r="E136" s="8" t="str">
        <f aca="false">IF(D136=0,"",_xlfn.MINIFS('Observed lines'!$G$2:$G$36,'Observed lines'!$F$2:$F$36,A136))</f>
        <v/>
      </c>
      <c r="F136" s="8" t="str">
        <f aca="false">IF(D136=0,"",_xlfn.MAXIFS('Observed lines'!$G$2:$G$36,'Observed lines'!$F$2:$F$36,A136))</f>
        <v/>
      </c>
      <c r="G136" s="5" t="str">
        <f aca="false">IF(D136=0,"none seen",IF(E136=F136,TEXT(E136,"$#,##0.00"),TEXT(E136,"$#,##0.00")&amp;" – "&amp;TEXT(F136,"$#,##0.00")))</f>
        <v>none seen</v>
      </c>
      <c r="H136" s="5" t="s">
        <v>1610</v>
      </c>
      <c r="I136" s="5" t="s">
        <v>776</v>
      </c>
    </row>
    <row r="137" customFormat="false" ht="15" hidden="false" customHeight="false" outlineLevel="0" collapsed="false">
      <c r="A137" s="5" t="s">
        <v>1212</v>
      </c>
      <c r="B137" s="5"/>
      <c r="C137" s="5" t="n">
        <f aca="false">COUNTIF('Observed lines'!$F$2:$F$36,A137)</f>
        <v>0</v>
      </c>
      <c r="D137" s="5" t="n">
        <f aca="false">COUNTIFS('Observed lines'!$F$2:$F$36,A137,'Observed lines'!$G$2:$G$36,"&lt;&gt;")</f>
        <v>0</v>
      </c>
      <c r="E137" s="8" t="str">
        <f aca="false">IF(D137=0,"",_xlfn.MINIFS('Observed lines'!$G$2:$G$36,'Observed lines'!$F$2:$F$36,A137))</f>
        <v/>
      </c>
      <c r="F137" s="8" t="str">
        <f aca="false">IF(D137=0,"",_xlfn.MAXIFS('Observed lines'!$G$2:$G$36,'Observed lines'!$F$2:$F$36,A137))</f>
        <v/>
      </c>
      <c r="G137" s="5" t="str">
        <f aca="false">IF(D137=0,"none seen",IF(E137=F137,TEXT(E137,"$#,##0.00"),TEXT(E137,"$#,##0.00")&amp;" – "&amp;TEXT(F137,"$#,##0.00")))</f>
        <v>none seen</v>
      </c>
      <c r="H137" s="5" t="s">
        <v>1610</v>
      </c>
      <c r="I137" s="5" t="s">
        <v>776</v>
      </c>
    </row>
    <row r="138" customFormat="false" ht="15" hidden="false" customHeight="false" outlineLevel="0" collapsed="false">
      <c r="A138" s="5" t="s">
        <v>1213</v>
      </c>
      <c r="B138" s="5"/>
      <c r="C138" s="5" t="n">
        <f aca="false">COUNTIF('Observed lines'!$F$2:$F$36,A138)</f>
        <v>0</v>
      </c>
      <c r="D138" s="5" t="n">
        <f aca="false">COUNTIFS('Observed lines'!$F$2:$F$36,A138,'Observed lines'!$G$2:$G$36,"&lt;&gt;")</f>
        <v>0</v>
      </c>
      <c r="E138" s="8" t="str">
        <f aca="false">IF(D138=0,"",_xlfn.MINIFS('Observed lines'!$G$2:$G$36,'Observed lines'!$F$2:$F$36,A138))</f>
        <v/>
      </c>
      <c r="F138" s="8" t="str">
        <f aca="false">IF(D138=0,"",_xlfn.MAXIFS('Observed lines'!$G$2:$G$36,'Observed lines'!$F$2:$F$36,A138))</f>
        <v/>
      </c>
      <c r="G138" s="5" t="str">
        <f aca="false">IF(D138=0,"none seen",IF(E138=F138,TEXT(E138,"$#,##0.00"),TEXT(E138,"$#,##0.00")&amp;" – "&amp;TEXT(F138,"$#,##0.00")))</f>
        <v>none seen</v>
      </c>
      <c r="H138" s="5" t="s">
        <v>1610</v>
      </c>
      <c r="I138" s="5" t="s">
        <v>776</v>
      </c>
    </row>
    <row r="139" customFormat="false" ht="15" hidden="false" customHeight="false" outlineLevel="0" collapsed="false">
      <c r="A139" s="5" t="s">
        <v>1214</v>
      </c>
      <c r="B139" s="5"/>
      <c r="C139" s="5" t="n">
        <f aca="false">COUNTIF('Observed lines'!$F$2:$F$36,A139)</f>
        <v>0</v>
      </c>
      <c r="D139" s="5" t="n">
        <f aca="false">COUNTIFS('Observed lines'!$F$2:$F$36,A139,'Observed lines'!$G$2:$G$36,"&lt;&gt;")</f>
        <v>0</v>
      </c>
      <c r="E139" s="8" t="str">
        <f aca="false">IF(D139=0,"",_xlfn.MINIFS('Observed lines'!$G$2:$G$36,'Observed lines'!$F$2:$F$36,A139))</f>
        <v/>
      </c>
      <c r="F139" s="8" t="str">
        <f aca="false">IF(D139=0,"",_xlfn.MAXIFS('Observed lines'!$G$2:$G$36,'Observed lines'!$F$2:$F$36,A139))</f>
        <v/>
      </c>
      <c r="G139" s="5" t="str">
        <f aca="false">IF(D139=0,"none seen",IF(E139=F139,TEXT(E139,"$#,##0.00"),TEXT(E139,"$#,##0.00")&amp;" – "&amp;TEXT(F139,"$#,##0.00")))</f>
        <v>none seen</v>
      </c>
      <c r="H139" s="5" t="s">
        <v>1610</v>
      </c>
      <c r="I139" s="5" t="s">
        <v>776</v>
      </c>
    </row>
    <row r="140" customFormat="false" ht="15" hidden="false" customHeight="false" outlineLevel="0" collapsed="false">
      <c r="A140" s="5" t="s">
        <v>1215</v>
      </c>
      <c r="B140" s="5"/>
      <c r="C140" s="5" t="n">
        <f aca="false">COUNTIF('Observed lines'!$F$2:$F$36,A140)</f>
        <v>0</v>
      </c>
      <c r="D140" s="5" t="n">
        <f aca="false">COUNTIFS('Observed lines'!$F$2:$F$36,A140,'Observed lines'!$G$2:$G$36,"&lt;&gt;")</f>
        <v>0</v>
      </c>
      <c r="E140" s="8" t="str">
        <f aca="false">IF(D140=0,"",_xlfn.MINIFS('Observed lines'!$G$2:$G$36,'Observed lines'!$F$2:$F$36,A140))</f>
        <v/>
      </c>
      <c r="F140" s="8" t="str">
        <f aca="false">IF(D140=0,"",_xlfn.MAXIFS('Observed lines'!$G$2:$G$36,'Observed lines'!$F$2:$F$36,A140))</f>
        <v/>
      </c>
      <c r="G140" s="5" t="str">
        <f aca="false">IF(D140=0,"none seen",IF(E140=F140,TEXT(E140,"$#,##0.00"),TEXT(E140,"$#,##0.00")&amp;" – "&amp;TEXT(F140,"$#,##0.00")))</f>
        <v>none seen</v>
      </c>
      <c r="H140" s="5" t="s">
        <v>1610</v>
      </c>
      <c r="I140" s="5" t="s">
        <v>776</v>
      </c>
    </row>
    <row r="141" customFormat="false" ht="15" hidden="false" customHeight="false" outlineLevel="0" collapsed="false">
      <c r="A141" s="5" t="s">
        <v>1216</v>
      </c>
      <c r="B141" s="5"/>
      <c r="C141" s="5" t="n">
        <f aca="false">COUNTIF('Observed lines'!$F$2:$F$36,A141)</f>
        <v>0</v>
      </c>
      <c r="D141" s="5" t="n">
        <f aca="false">COUNTIFS('Observed lines'!$F$2:$F$36,A141,'Observed lines'!$G$2:$G$36,"&lt;&gt;")</f>
        <v>0</v>
      </c>
      <c r="E141" s="8" t="str">
        <f aca="false">IF(D141=0,"",_xlfn.MINIFS('Observed lines'!$G$2:$G$36,'Observed lines'!$F$2:$F$36,A141))</f>
        <v/>
      </c>
      <c r="F141" s="8" t="str">
        <f aca="false">IF(D141=0,"",_xlfn.MAXIFS('Observed lines'!$G$2:$G$36,'Observed lines'!$F$2:$F$36,A141))</f>
        <v/>
      </c>
      <c r="G141" s="5" t="str">
        <f aca="false">IF(D141=0,"none seen",IF(E141=F141,TEXT(E141,"$#,##0.00"),TEXT(E141,"$#,##0.00")&amp;" – "&amp;TEXT(F141,"$#,##0.00")))</f>
        <v>none seen</v>
      </c>
      <c r="H141" s="5" t="s">
        <v>1610</v>
      </c>
      <c r="I141" s="5" t="s">
        <v>776</v>
      </c>
    </row>
    <row r="142" customFormat="false" ht="15" hidden="false" customHeight="false" outlineLevel="0" collapsed="false">
      <c r="A142" s="5" t="s">
        <v>1217</v>
      </c>
      <c r="B142" s="5"/>
      <c r="C142" s="5" t="n">
        <f aca="false">COUNTIF('Observed lines'!$F$2:$F$36,A142)</f>
        <v>0</v>
      </c>
      <c r="D142" s="5" t="n">
        <f aca="false">COUNTIFS('Observed lines'!$F$2:$F$36,A142,'Observed lines'!$G$2:$G$36,"&lt;&gt;")</f>
        <v>0</v>
      </c>
      <c r="E142" s="8" t="str">
        <f aca="false">IF(D142=0,"",_xlfn.MINIFS('Observed lines'!$G$2:$G$36,'Observed lines'!$F$2:$F$36,A142))</f>
        <v/>
      </c>
      <c r="F142" s="8" t="str">
        <f aca="false">IF(D142=0,"",_xlfn.MAXIFS('Observed lines'!$G$2:$G$36,'Observed lines'!$F$2:$F$36,A142))</f>
        <v/>
      </c>
      <c r="G142" s="5" t="str">
        <f aca="false">IF(D142=0,"none seen",IF(E142=F142,TEXT(E142,"$#,##0.00"),TEXT(E142,"$#,##0.00")&amp;" – "&amp;TEXT(F142,"$#,##0.00")))</f>
        <v>none seen</v>
      </c>
      <c r="H142" s="5" t="s">
        <v>1610</v>
      </c>
      <c r="I142" s="5" t="s">
        <v>776</v>
      </c>
    </row>
    <row r="143" customFormat="false" ht="15" hidden="false" customHeight="false" outlineLevel="0" collapsed="false">
      <c r="A143" s="5" t="s">
        <v>1218</v>
      </c>
      <c r="B143" s="5"/>
      <c r="C143" s="5" t="n">
        <f aca="false">COUNTIF('Observed lines'!$F$2:$F$36,A143)</f>
        <v>0</v>
      </c>
      <c r="D143" s="5" t="n">
        <f aca="false">COUNTIFS('Observed lines'!$F$2:$F$36,A143,'Observed lines'!$G$2:$G$36,"&lt;&gt;")</f>
        <v>0</v>
      </c>
      <c r="E143" s="8" t="str">
        <f aca="false">IF(D143=0,"",_xlfn.MINIFS('Observed lines'!$G$2:$G$36,'Observed lines'!$F$2:$F$36,A143))</f>
        <v/>
      </c>
      <c r="F143" s="8" t="str">
        <f aca="false">IF(D143=0,"",_xlfn.MAXIFS('Observed lines'!$G$2:$G$36,'Observed lines'!$F$2:$F$36,A143))</f>
        <v/>
      </c>
      <c r="G143" s="5" t="str">
        <f aca="false">IF(D143=0,"none seen",IF(E143=F143,TEXT(E143,"$#,##0.00"),TEXT(E143,"$#,##0.00")&amp;" – "&amp;TEXT(F143,"$#,##0.00")))</f>
        <v>none seen</v>
      </c>
      <c r="H143" s="5" t="s">
        <v>1610</v>
      </c>
      <c r="I143" s="5" t="s">
        <v>776</v>
      </c>
    </row>
    <row r="144" customFormat="false" ht="15" hidden="false" customHeight="false" outlineLevel="0" collapsed="false">
      <c r="A144" s="5" t="s">
        <v>1219</v>
      </c>
      <c r="B144" s="5"/>
      <c r="C144" s="5" t="n">
        <f aca="false">COUNTIF('Observed lines'!$F$2:$F$36,A144)</f>
        <v>0</v>
      </c>
      <c r="D144" s="5" t="n">
        <f aca="false">COUNTIFS('Observed lines'!$F$2:$F$36,A144,'Observed lines'!$G$2:$G$36,"&lt;&gt;")</f>
        <v>0</v>
      </c>
      <c r="E144" s="8" t="str">
        <f aca="false">IF(D144=0,"",_xlfn.MINIFS('Observed lines'!$G$2:$G$36,'Observed lines'!$F$2:$F$36,A144))</f>
        <v/>
      </c>
      <c r="F144" s="8" t="str">
        <f aca="false">IF(D144=0,"",_xlfn.MAXIFS('Observed lines'!$G$2:$G$36,'Observed lines'!$F$2:$F$36,A144))</f>
        <v/>
      </c>
      <c r="G144" s="5" t="str">
        <f aca="false">IF(D144=0,"none seen",IF(E144=F144,TEXT(E144,"$#,##0.00"),TEXT(E144,"$#,##0.00")&amp;" – "&amp;TEXT(F144,"$#,##0.00")))</f>
        <v>none seen</v>
      </c>
      <c r="H144" s="5" t="s">
        <v>1610</v>
      </c>
      <c r="I144" s="5" t="s">
        <v>776</v>
      </c>
    </row>
    <row r="145" customFormat="false" ht="15" hidden="false" customHeight="false" outlineLevel="0" collapsed="false">
      <c r="A145" s="5" t="s">
        <v>1220</v>
      </c>
      <c r="B145" s="5"/>
      <c r="C145" s="5" t="n">
        <f aca="false">COUNTIF('Observed lines'!$F$2:$F$36,A145)</f>
        <v>0</v>
      </c>
      <c r="D145" s="5" t="n">
        <f aca="false">COUNTIFS('Observed lines'!$F$2:$F$36,A145,'Observed lines'!$G$2:$G$36,"&lt;&gt;")</f>
        <v>0</v>
      </c>
      <c r="E145" s="8" t="str">
        <f aca="false">IF(D145=0,"",_xlfn.MINIFS('Observed lines'!$G$2:$G$36,'Observed lines'!$F$2:$F$36,A145))</f>
        <v/>
      </c>
      <c r="F145" s="8" t="str">
        <f aca="false">IF(D145=0,"",_xlfn.MAXIFS('Observed lines'!$G$2:$G$36,'Observed lines'!$F$2:$F$36,A145))</f>
        <v/>
      </c>
      <c r="G145" s="5" t="str">
        <f aca="false">IF(D145=0,"none seen",IF(E145=F145,TEXT(E145,"$#,##0.00"),TEXT(E145,"$#,##0.00")&amp;" – "&amp;TEXT(F145,"$#,##0.00")))</f>
        <v>none seen</v>
      </c>
      <c r="H145" s="5" t="s">
        <v>1610</v>
      </c>
      <c r="I145" s="5" t="s">
        <v>776</v>
      </c>
    </row>
    <row r="146" customFormat="false" ht="15" hidden="false" customHeight="false" outlineLevel="0" collapsed="false">
      <c r="A146" s="5" t="s">
        <v>1221</v>
      </c>
      <c r="B146" s="5"/>
      <c r="C146" s="5" t="n">
        <f aca="false">COUNTIF('Observed lines'!$F$2:$F$36,A146)</f>
        <v>0</v>
      </c>
      <c r="D146" s="5" t="n">
        <f aca="false">COUNTIFS('Observed lines'!$F$2:$F$36,A146,'Observed lines'!$G$2:$G$36,"&lt;&gt;")</f>
        <v>0</v>
      </c>
      <c r="E146" s="8" t="str">
        <f aca="false">IF(D146=0,"",_xlfn.MINIFS('Observed lines'!$G$2:$G$36,'Observed lines'!$F$2:$F$36,A146))</f>
        <v/>
      </c>
      <c r="F146" s="8" t="str">
        <f aca="false">IF(D146=0,"",_xlfn.MAXIFS('Observed lines'!$G$2:$G$36,'Observed lines'!$F$2:$F$36,A146))</f>
        <v/>
      </c>
      <c r="G146" s="5" t="str">
        <f aca="false">IF(D146=0,"none seen",IF(E146=F146,TEXT(E146,"$#,##0.00"),TEXT(E146,"$#,##0.00")&amp;" – "&amp;TEXT(F146,"$#,##0.00")))</f>
        <v>none seen</v>
      </c>
      <c r="H146" s="5" t="s">
        <v>1610</v>
      </c>
      <c r="I146" s="5" t="s">
        <v>776</v>
      </c>
    </row>
    <row r="147" customFormat="false" ht="15" hidden="false" customHeight="false" outlineLevel="0" collapsed="false">
      <c r="A147" s="5" t="s">
        <v>1222</v>
      </c>
      <c r="B147" s="5"/>
      <c r="C147" s="5" t="n">
        <f aca="false">COUNTIF('Observed lines'!$F$2:$F$36,A147)</f>
        <v>0</v>
      </c>
      <c r="D147" s="5" t="n">
        <f aca="false">COUNTIFS('Observed lines'!$F$2:$F$36,A147,'Observed lines'!$G$2:$G$36,"&lt;&gt;")</f>
        <v>0</v>
      </c>
      <c r="E147" s="8" t="str">
        <f aca="false">IF(D147=0,"",_xlfn.MINIFS('Observed lines'!$G$2:$G$36,'Observed lines'!$F$2:$F$36,A147))</f>
        <v/>
      </c>
      <c r="F147" s="8" t="str">
        <f aca="false">IF(D147=0,"",_xlfn.MAXIFS('Observed lines'!$G$2:$G$36,'Observed lines'!$F$2:$F$36,A147))</f>
        <v/>
      </c>
      <c r="G147" s="5" t="str">
        <f aca="false">IF(D147=0,"none seen",IF(E147=F147,TEXT(E147,"$#,##0.00"),TEXT(E147,"$#,##0.00")&amp;" – "&amp;TEXT(F147,"$#,##0.00")))</f>
        <v>none seen</v>
      </c>
      <c r="H147" s="5" t="s">
        <v>1610</v>
      </c>
      <c r="I147" s="5" t="s">
        <v>776</v>
      </c>
    </row>
    <row r="148" customFormat="false" ht="15" hidden="false" customHeight="false" outlineLevel="0" collapsed="false">
      <c r="A148" s="5" t="s">
        <v>1223</v>
      </c>
      <c r="B148" s="5"/>
      <c r="C148" s="5" t="n">
        <f aca="false">COUNTIF('Observed lines'!$F$2:$F$36,A148)</f>
        <v>0</v>
      </c>
      <c r="D148" s="5" t="n">
        <f aca="false">COUNTIFS('Observed lines'!$F$2:$F$36,A148,'Observed lines'!$G$2:$G$36,"&lt;&gt;")</f>
        <v>0</v>
      </c>
      <c r="E148" s="8" t="str">
        <f aca="false">IF(D148=0,"",_xlfn.MINIFS('Observed lines'!$G$2:$G$36,'Observed lines'!$F$2:$F$36,A148))</f>
        <v/>
      </c>
      <c r="F148" s="8" t="str">
        <f aca="false">IF(D148=0,"",_xlfn.MAXIFS('Observed lines'!$G$2:$G$36,'Observed lines'!$F$2:$F$36,A148))</f>
        <v/>
      </c>
      <c r="G148" s="5" t="str">
        <f aca="false">IF(D148=0,"none seen",IF(E148=F148,TEXT(E148,"$#,##0.00"),TEXT(E148,"$#,##0.00")&amp;" – "&amp;TEXT(F148,"$#,##0.00")))</f>
        <v>none seen</v>
      </c>
      <c r="H148" s="5" t="s">
        <v>1610</v>
      </c>
      <c r="I148" s="5" t="s">
        <v>776</v>
      </c>
    </row>
    <row r="149" customFormat="false" ht="15" hidden="false" customHeight="false" outlineLevel="0" collapsed="false">
      <c r="A149" s="5" t="s">
        <v>1224</v>
      </c>
      <c r="B149" s="5"/>
      <c r="C149" s="5" t="n">
        <f aca="false">COUNTIF('Observed lines'!$F$2:$F$36,A149)</f>
        <v>0</v>
      </c>
      <c r="D149" s="5" t="n">
        <f aca="false">COUNTIFS('Observed lines'!$F$2:$F$36,A149,'Observed lines'!$G$2:$G$36,"&lt;&gt;")</f>
        <v>0</v>
      </c>
      <c r="E149" s="8" t="str">
        <f aca="false">IF(D149=0,"",_xlfn.MINIFS('Observed lines'!$G$2:$G$36,'Observed lines'!$F$2:$F$36,A149))</f>
        <v/>
      </c>
      <c r="F149" s="8" t="str">
        <f aca="false">IF(D149=0,"",_xlfn.MAXIFS('Observed lines'!$G$2:$G$36,'Observed lines'!$F$2:$F$36,A149))</f>
        <v/>
      </c>
      <c r="G149" s="5" t="str">
        <f aca="false">IF(D149=0,"none seen",IF(E149=F149,TEXT(E149,"$#,##0.00"),TEXT(E149,"$#,##0.00")&amp;" – "&amp;TEXT(F149,"$#,##0.00")))</f>
        <v>none seen</v>
      </c>
      <c r="H149" s="5" t="s">
        <v>1610</v>
      </c>
      <c r="I149" s="5" t="s">
        <v>776</v>
      </c>
    </row>
    <row r="150" customFormat="false" ht="15" hidden="false" customHeight="false" outlineLevel="0" collapsed="false">
      <c r="A150" s="5" t="s">
        <v>1225</v>
      </c>
      <c r="B150" s="5"/>
      <c r="C150" s="5" t="n">
        <f aca="false">COUNTIF('Observed lines'!$F$2:$F$36,A150)</f>
        <v>0</v>
      </c>
      <c r="D150" s="5" t="n">
        <f aca="false">COUNTIFS('Observed lines'!$F$2:$F$36,A150,'Observed lines'!$G$2:$G$36,"&lt;&gt;")</f>
        <v>0</v>
      </c>
      <c r="E150" s="8" t="str">
        <f aca="false">IF(D150=0,"",_xlfn.MINIFS('Observed lines'!$G$2:$G$36,'Observed lines'!$F$2:$F$36,A150))</f>
        <v/>
      </c>
      <c r="F150" s="8" t="str">
        <f aca="false">IF(D150=0,"",_xlfn.MAXIFS('Observed lines'!$G$2:$G$36,'Observed lines'!$F$2:$F$36,A150))</f>
        <v/>
      </c>
      <c r="G150" s="5" t="str">
        <f aca="false">IF(D150=0,"none seen",IF(E150=F150,TEXT(E150,"$#,##0.00"),TEXT(E150,"$#,##0.00")&amp;" – "&amp;TEXT(F150,"$#,##0.00")))</f>
        <v>none seen</v>
      </c>
      <c r="H150" s="5" t="s">
        <v>1610</v>
      </c>
      <c r="I150" s="5" t="s">
        <v>776</v>
      </c>
    </row>
    <row r="151" customFormat="false" ht="15" hidden="false" customHeight="false" outlineLevel="0" collapsed="false">
      <c r="A151" s="5" t="s">
        <v>1226</v>
      </c>
      <c r="B151" s="5"/>
      <c r="C151" s="5" t="n">
        <f aca="false">COUNTIF('Observed lines'!$F$2:$F$36,A151)</f>
        <v>0</v>
      </c>
      <c r="D151" s="5" t="n">
        <f aca="false">COUNTIFS('Observed lines'!$F$2:$F$36,A151,'Observed lines'!$G$2:$G$36,"&lt;&gt;")</f>
        <v>0</v>
      </c>
      <c r="E151" s="8" t="str">
        <f aca="false">IF(D151=0,"",_xlfn.MINIFS('Observed lines'!$G$2:$G$36,'Observed lines'!$F$2:$F$36,A151))</f>
        <v/>
      </c>
      <c r="F151" s="8" t="str">
        <f aca="false">IF(D151=0,"",_xlfn.MAXIFS('Observed lines'!$G$2:$G$36,'Observed lines'!$F$2:$F$36,A151))</f>
        <v/>
      </c>
      <c r="G151" s="5" t="str">
        <f aca="false">IF(D151=0,"none seen",IF(E151=F151,TEXT(E151,"$#,##0.00"),TEXT(E151,"$#,##0.00")&amp;" – "&amp;TEXT(F151,"$#,##0.00")))</f>
        <v>none seen</v>
      </c>
      <c r="H151" s="5" t="s">
        <v>1610</v>
      </c>
      <c r="I151" s="5" t="s">
        <v>776</v>
      </c>
    </row>
    <row r="152" customFormat="false" ht="15" hidden="false" customHeight="false" outlineLevel="0" collapsed="false">
      <c r="A152" s="5" t="s">
        <v>1227</v>
      </c>
      <c r="B152" s="5"/>
      <c r="C152" s="5" t="n">
        <f aca="false">COUNTIF('Observed lines'!$F$2:$F$36,A152)</f>
        <v>0</v>
      </c>
      <c r="D152" s="5" t="n">
        <f aca="false">COUNTIFS('Observed lines'!$F$2:$F$36,A152,'Observed lines'!$G$2:$G$36,"&lt;&gt;")</f>
        <v>0</v>
      </c>
      <c r="E152" s="8" t="str">
        <f aca="false">IF(D152=0,"",_xlfn.MINIFS('Observed lines'!$G$2:$G$36,'Observed lines'!$F$2:$F$36,A152))</f>
        <v/>
      </c>
      <c r="F152" s="8" t="str">
        <f aca="false">IF(D152=0,"",_xlfn.MAXIFS('Observed lines'!$G$2:$G$36,'Observed lines'!$F$2:$F$36,A152))</f>
        <v/>
      </c>
      <c r="G152" s="5" t="str">
        <f aca="false">IF(D152=0,"none seen",IF(E152=F152,TEXT(E152,"$#,##0.00"),TEXT(E152,"$#,##0.00")&amp;" – "&amp;TEXT(F152,"$#,##0.00")))</f>
        <v>none seen</v>
      </c>
      <c r="H152" s="5" t="s">
        <v>1610</v>
      </c>
      <c r="I152" s="5" t="s">
        <v>776</v>
      </c>
    </row>
    <row r="153" customFormat="false" ht="15" hidden="false" customHeight="false" outlineLevel="0" collapsed="false">
      <c r="A153" s="5" t="s">
        <v>1228</v>
      </c>
      <c r="B153" s="5" t="s">
        <v>1229</v>
      </c>
      <c r="C153" s="5" t="n">
        <f aca="false">COUNTIF('Observed lines'!$F$2:$F$36,A153)</f>
        <v>1</v>
      </c>
      <c r="D153" s="5" t="n">
        <f aca="false">COUNTIFS('Observed lines'!$F$2:$F$36,A153,'Observed lines'!$G$2:$G$36,"&lt;&gt;")</f>
        <v>1</v>
      </c>
      <c r="E153" s="8" t="n">
        <f aca="false">IF(D153=0,"",_xlfn.MINIFS('Observed lines'!$G$2:$G$36,'Observed lines'!$F$2:$F$36,A153))</f>
        <v>25.34</v>
      </c>
      <c r="F153" s="8" t="n">
        <f aca="false">IF(D153=0,"",_xlfn.MAXIFS('Observed lines'!$G$2:$G$36,'Observed lines'!$F$2:$F$36,A153))</f>
        <v>25.34</v>
      </c>
      <c r="G153" s="5" t="str">
        <f aca="false">IF(D153=0,"none seen",IF(E153=F153,TEXT(E153,"$#,##0.00"),TEXT(E153,"$#,##0.00")&amp;" – "&amp;TEXT(F153,"$#,##0.00")))</f>
        <v>$25.34</v>
      </c>
      <c r="H153" s="5" t="s">
        <v>1611</v>
      </c>
      <c r="I153" s="5" t="s">
        <v>776</v>
      </c>
    </row>
    <row r="154" customFormat="false" ht="15" hidden="false" customHeight="false" outlineLevel="0" collapsed="false">
      <c r="A154" s="5" t="s">
        <v>1231</v>
      </c>
      <c r="B154" s="5"/>
      <c r="C154" s="5" t="n">
        <f aca="false">COUNTIF('Observed lines'!$F$2:$F$36,A154)</f>
        <v>0</v>
      </c>
      <c r="D154" s="5" t="n">
        <f aca="false">COUNTIFS('Observed lines'!$F$2:$F$36,A154,'Observed lines'!$G$2:$G$36,"&lt;&gt;")</f>
        <v>0</v>
      </c>
      <c r="E154" s="8" t="str">
        <f aca="false">IF(D154=0,"",_xlfn.MINIFS('Observed lines'!$G$2:$G$36,'Observed lines'!$F$2:$F$36,A154))</f>
        <v/>
      </c>
      <c r="F154" s="8" t="str">
        <f aca="false">IF(D154=0,"",_xlfn.MAXIFS('Observed lines'!$G$2:$G$36,'Observed lines'!$F$2:$F$36,A154))</f>
        <v/>
      </c>
      <c r="G154" s="5" t="str">
        <f aca="false">IF(D154=0,"none seen",IF(E154=F154,TEXT(E154,"$#,##0.00"),TEXT(E154,"$#,##0.00")&amp;" – "&amp;TEXT(F154,"$#,##0.00")))</f>
        <v>none seen</v>
      </c>
      <c r="H154" s="5" t="s">
        <v>1610</v>
      </c>
      <c r="I154" s="5" t="s">
        <v>776</v>
      </c>
    </row>
    <row r="155" customFormat="false" ht="15" hidden="false" customHeight="false" outlineLevel="0" collapsed="false">
      <c r="A155" s="5" t="s">
        <v>1232</v>
      </c>
      <c r="B155" s="5"/>
      <c r="C155" s="5" t="n">
        <f aca="false">COUNTIF('Observed lines'!$F$2:$F$36,A155)</f>
        <v>0</v>
      </c>
      <c r="D155" s="5" t="n">
        <f aca="false">COUNTIFS('Observed lines'!$F$2:$F$36,A155,'Observed lines'!$G$2:$G$36,"&lt;&gt;")</f>
        <v>0</v>
      </c>
      <c r="E155" s="8" t="str">
        <f aca="false">IF(D155=0,"",_xlfn.MINIFS('Observed lines'!$G$2:$G$36,'Observed lines'!$F$2:$F$36,A155))</f>
        <v/>
      </c>
      <c r="F155" s="8" t="str">
        <f aca="false">IF(D155=0,"",_xlfn.MAXIFS('Observed lines'!$G$2:$G$36,'Observed lines'!$F$2:$F$36,A155))</f>
        <v/>
      </c>
      <c r="G155" s="5" t="str">
        <f aca="false">IF(D155=0,"none seen",IF(E155=F155,TEXT(E155,"$#,##0.00"),TEXT(E155,"$#,##0.00")&amp;" – "&amp;TEXT(F155,"$#,##0.00")))</f>
        <v>none seen</v>
      </c>
      <c r="H155" s="5" t="s">
        <v>1610</v>
      </c>
      <c r="I155" s="5" t="s">
        <v>776</v>
      </c>
    </row>
    <row r="156" customFormat="false" ht="15" hidden="false" customHeight="false" outlineLevel="0" collapsed="false">
      <c r="A156" s="5" t="s">
        <v>1233</v>
      </c>
      <c r="B156" s="5" t="s">
        <v>1234</v>
      </c>
      <c r="C156" s="5" t="n">
        <f aca="false">COUNTIF('Observed lines'!$F$2:$F$36,A156)</f>
        <v>1</v>
      </c>
      <c r="D156" s="5" t="n">
        <f aca="false">COUNTIFS('Observed lines'!$F$2:$F$36,A156,'Observed lines'!$G$2:$G$36,"&lt;&gt;")</f>
        <v>1</v>
      </c>
      <c r="E156" s="8" t="n">
        <f aca="false">IF(D156=0,"",_xlfn.MINIFS('Observed lines'!$G$2:$G$36,'Observed lines'!$F$2:$F$36,A156))</f>
        <v>1.91</v>
      </c>
      <c r="F156" s="8" t="n">
        <f aca="false">IF(D156=0,"",_xlfn.MAXIFS('Observed lines'!$G$2:$G$36,'Observed lines'!$F$2:$F$36,A156))</f>
        <v>1.91</v>
      </c>
      <c r="G156" s="5" t="str">
        <f aca="false">IF(D156=0,"none seen",IF(E156=F156,TEXT(E156,"$#,##0.00"),TEXT(E156,"$#,##0.00")&amp;" – "&amp;TEXT(F156,"$#,##0.00")))</f>
        <v>$1.91</v>
      </c>
      <c r="H156" s="5" t="s">
        <v>1611</v>
      </c>
      <c r="I156" s="5" t="s">
        <v>776</v>
      </c>
    </row>
    <row r="157" customFormat="false" ht="15" hidden="false" customHeight="false" outlineLevel="0" collapsed="false">
      <c r="A157" s="5" t="s">
        <v>1236</v>
      </c>
      <c r="B157" s="5"/>
      <c r="C157" s="5" t="n">
        <f aca="false">COUNTIF('Observed lines'!$F$2:$F$36,A157)</f>
        <v>0</v>
      </c>
      <c r="D157" s="5" t="n">
        <f aca="false">COUNTIFS('Observed lines'!$F$2:$F$36,A157,'Observed lines'!$G$2:$G$36,"&lt;&gt;")</f>
        <v>0</v>
      </c>
      <c r="E157" s="8" t="str">
        <f aca="false">IF(D157=0,"",_xlfn.MINIFS('Observed lines'!$G$2:$G$36,'Observed lines'!$F$2:$F$36,A157))</f>
        <v/>
      </c>
      <c r="F157" s="8" t="str">
        <f aca="false">IF(D157=0,"",_xlfn.MAXIFS('Observed lines'!$G$2:$G$36,'Observed lines'!$F$2:$F$36,A157))</f>
        <v/>
      </c>
      <c r="G157" s="5" t="str">
        <f aca="false">IF(D157=0,"none seen",IF(E157=F157,TEXT(E157,"$#,##0.00"),TEXT(E157,"$#,##0.00")&amp;" – "&amp;TEXT(F157,"$#,##0.00")))</f>
        <v>none seen</v>
      </c>
      <c r="H157" s="5" t="s">
        <v>1610</v>
      </c>
      <c r="I157" s="5" t="s">
        <v>776</v>
      </c>
    </row>
    <row r="158" customFormat="false" ht="15" hidden="false" customHeight="false" outlineLevel="0" collapsed="false">
      <c r="A158" s="5" t="s">
        <v>1237</v>
      </c>
      <c r="B158" s="5"/>
      <c r="C158" s="5" t="n">
        <f aca="false">COUNTIF('Observed lines'!$F$2:$F$36,A158)</f>
        <v>0</v>
      </c>
      <c r="D158" s="5" t="n">
        <f aca="false">COUNTIFS('Observed lines'!$F$2:$F$36,A158,'Observed lines'!$G$2:$G$36,"&lt;&gt;")</f>
        <v>0</v>
      </c>
      <c r="E158" s="8" t="str">
        <f aca="false">IF(D158=0,"",_xlfn.MINIFS('Observed lines'!$G$2:$G$36,'Observed lines'!$F$2:$F$36,A158))</f>
        <v/>
      </c>
      <c r="F158" s="8" t="str">
        <f aca="false">IF(D158=0,"",_xlfn.MAXIFS('Observed lines'!$G$2:$G$36,'Observed lines'!$F$2:$F$36,A158))</f>
        <v/>
      </c>
      <c r="G158" s="5" t="str">
        <f aca="false">IF(D158=0,"none seen",IF(E158=F158,TEXT(E158,"$#,##0.00"),TEXT(E158,"$#,##0.00")&amp;" – "&amp;TEXT(F158,"$#,##0.00")))</f>
        <v>none seen</v>
      </c>
      <c r="H158" s="5" t="s">
        <v>1610</v>
      </c>
      <c r="I158" s="5" t="s">
        <v>776</v>
      </c>
    </row>
    <row r="159" customFormat="false" ht="15" hidden="false" customHeight="false" outlineLevel="0" collapsed="false">
      <c r="A159" s="5" t="s">
        <v>1238</v>
      </c>
      <c r="B159" s="5" t="s">
        <v>1239</v>
      </c>
      <c r="C159" s="5" t="n">
        <f aca="false">COUNTIF('Observed lines'!$F$2:$F$36,A159)</f>
        <v>1</v>
      </c>
      <c r="D159" s="5" t="n">
        <f aca="false">COUNTIFS('Observed lines'!$F$2:$F$36,A159,'Observed lines'!$G$2:$G$36,"&lt;&gt;")</f>
        <v>1</v>
      </c>
      <c r="E159" s="8" t="n">
        <f aca="false">IF(D159=0,"",_xlfn.MINIFS('Observed lines'!$G$2:$G$36,'Observed lines'!$F$2:$F$36,A159))</f>
        <v>5.26</v>
      </c>
      <c r="F159" s="8" t="n">
        <f aca="false">IF(D159=0,"",_xlfn.MAXIFS('Observed lines'!$G$2:$G$36,'Observed lines'!$F$2:$F$36,A159))</f>
        <v>5.26</v>
      </c>
      <c r="G159" s="5" t="str">
        <f aca="false">IF(D159=0,"none seen",IF(E159=F159,TEXT(E159,"$#,##0.00"),TEXT(E159,"$#,##0.00")&amp;" – "&amp;TEXT(F159,"$#,##0.00")))</f>
        <v>$5.26</v>
      </c>
      <c r="H159" s="5" t="s">
        <v>1611</v>
      </c>
      <c r="I159" s="5" t="s">
        <v>776</v>
      </c>
    </row>
    <row r="160" customFormat="false" ht="15" hidden="false" customHeight="false" outlineLevel="0" collapsed="false">
      <c r="A160" s="5" t="s">
        <v>1241</v>
      </c>
      <c r="B160" s="5" t="s">
        <v>1242</v>
      </c>
      <c r="C160" s="5" t="n">
        <f aca="false">COUNTIF('Observed lines'!$F$2:$F$36,A160)</f>
        <v>2</v>
      </c>
      <c r="D160" s="5" t="n">
        <f aca="false">COUNTIFS('Observed lines'!$F$2:$F$36,A160,'Observed lines'!$G$2:$G$36,"&lt;&gt;")</f>
        <v>2</v>
      </c>
      <c r="E160" s="8" t="n">
        <f aca="false">IF(D160=0,"",_xlfn.MINIFS('Observed lines'!$G$2:$G$36,'Observed lines'!$F$2:$F$36,A160))</f>
        <v>1.34</v>
      </c>
      <c r="F160" s="8" t="n">
        <f aca="false">IF(D160=0,"",_xlfn.MAXIFS('Observed lines'!$G$2:$G$36,'Observed lines'!$F$2:$F$36,A160))</f>
        <v>6.5</v>
      </c>
      <c r="G160" s="5" t="str">
        <f aca="false">IF(D160=0,"none seen",IF(E160=F160,TEXT(E160,"$#,##0.00"),TEXT(E160,"$#,##0.00")&amp;" – "&amp;TEXT(F160,"$#,##0.00")))</f>
        <v>$1.34 – $6.50</v>
      </c>
      <c r="H160" s="5" t="s">
        <v>1611</v>
      </c>
      <c r="I160" s="5" t="s">
        <v>776</v>
      </c>
    </row>
    <row r="161" customFormat="false" ht="15" hidden="false" customHeight="false" outlineLevel="0" collapsed="false">
      <c r="A161" s="5" t="s">
        <v>1244</v>
      </c>
      <c r="B161" s="5" t="s">
        <v>1245</v>
      </c>
      <c r="C161" s="5" t="n">
        <f aca="false">COUNTIF('Observed lines'!$F$2:$F$36,A161)</f>
        <v>1</v>
      </c>
      <c r="D161" s="5" t="n">
        <f aca="false">COUNTIFS('Observed lines'!$F$2:$F$36,A161,'Observed lines'!$G$2:$G$36,"&lt;&gt;")</f>
        <v>1</v>
      </c>
      <c r="E161" s="8" t="n">
        <f aca="false">IF(D161=0,"",_xlfn.MINIFS('Observed lines'!$G$2:$G$36,'Observed lines'!$F$2:$F$36,A161))</f>
        <v>2.59</v>
      </c>
      <c r="F161" s="8" t="n">
        <f aca="false">IF(D161=0,"",_xlfn.MAXIFS('Observed lines'!$G$2:$G$36,'Observed lines'!$F$2:$F$36,A161))</f>
        <v>2.59</v>
      </c>
      <c r="G161" s="5" t="str">
        <f aca="false">IF(D161=0,"none seen",IF(E161=F161,TEXT(E161,"$#,##0.00"),TEXT(E161,"$#,##0.00")&amp;" – "&amp;TEXT(F161,"$#,##0.00")))</f>
        <v>$2.59</v>
      </c>
      <c r="H161" s="5" t="s">
        <v>1611</v>
      </c>
      <c r="I161" s="5" t="s">
        <v>776</v>
      </c>
    </row>
    <row r="162" customFormat="false" ht="15" hidden="false" customHeight="false" outlineLevel="0" collapsed="false">
      <c r="A162" s="5" t="s">
        <v>1247</v>
      </c>
      <c r="B162" s="5"/>
      <c r="C162" s="5" t="n">
        <f aca="false">COUNTIF('Observed lines'!$F$2:$F$36,A162)</f>
        <v>0</v>
      </c>
      <c r="D162" s="5" t="n">
        <f aca="false">COUNTIFS('Observed lines'!$F$2:$F$36,A162,'Observed lines'!$G$2:$G$36,"&lt;&gt;")</f>
        <v>0</v>
      </c>
      <c r="E162" s="8" t="str">
        <f aca="false">IF(D162=0,"",_xlfn.MINIFS('Observed lines'!$G$2:$G$36,'Observed lines'!$F$2:$F$36,A162))</f>
        <v/>
      </c>
      <c r="F162" s="8" t="str">
        <f aca="false">IF(D162=0,"",_xlfn.MAXIFS('Observed lines'!$G$2:$G$36,'Observed lines'!$F$2:$F$36,A162))</f>
        <v/>
      </c>
      <c r="G162" s="5" t="str">
        <f aca="false">IF(D162=0,"none seen",IF(E162=F162,TEXT(E162,"$#,##0.00"),TEXT(E162,"$#,##0.00")&amp;" – "&amp;TEXT(F162,"$#,##0.00")))</f>
        <v>none seen</v>
      </c>
      <c r="H162" s="5" t="s">
        <v>1610</v>
      </c>
      <c r="I162" s="5" t="s">
        <v>776</v>
      </c>
    </row>
    <row r="163" customFormat="false" ht="15" hidden="false" customHeight="false" outlineLevel="0" collapsed="false">
      <c r="A163" s="5" t="s">
        <v>1248</v>
      </c>
      <c r="B163" s="5"/>
      <c r="C163" s="5" t="n">
        <f aca="false">COUNTIF('Observed lines'!$F$2:$F$36,A163)</f>
        <v>0</v>
      </c>
      <c r="D163" s="5" t="n">
        <f aca="false">COUNTIFS('Observed lines'!$F$2:$F$36,A163,'Observed lines'!$G$2:$G$36,"&lt;&gt;")</f>
        <v>0</v>
      </c>
      <c r="E163" s="8" t="str">
        <f aca="false">IF(D163=0,"",_xlfn.MINIFS('Observed lines'!$G$2:$G$36,'Observed lines'!$F$2:$F$36,A163))</f>
        <v/>
      </c>
      <c r="F163" s="8" t="str">
        <f aca="false">IF(D163=0,"",_xlfn.MAXIFS('Observed lines'!$G$2:$G$36,'Observed lines'!$F$2:$F$36,A163))</f>
        <v/>
      </c>
      <c r="G163" s="5" t="str">
        <f aca="false">IF(D163=0,"none seen",IF(E163=F163,TEXT(E163,"$#,##0.00"),TEXT(E163,"$#,##0.00")&amp;" – "&amp;TEXT(F163,"$#,##0.00")))</f>
        <v>none seen</v>
      </c>
      <c r="H163" s="5" t="s">
        <v>1610</v>
      </c>
      <c r="I163" s="5" t="s">
        <v>776</v>
      </c>
    </row>
    <row r="164" customFormat="false" ht="15" hidden="false" customHeight="false" outlineLevel="0" collapsed="false">
      <c r="A164" s="5" t="s">
        <v>1249</v>
      </c>
      <c r="B164" s="5"/>
      <c r="C164" s="5" t="n">
        <f aca="false">COUNTIF('Observed lines'!$F$2:$F$36,A164)</f>
        <v>0</v>
      </c>
      <c r="D164" s="5" t="n">
        <f aca="false">COUNTIFS('Observed lines'!$F$2:$F$36,A164,'Observed lines'!$G$2:$G$36,"&lt;&gt;")</f>
        <v>0</v>
      </c>
      <c r="E164" s="8" t="str">
        <f aca="false">IF(D164=0,"",_xlfn.MINIFS('Observed lines'!$G$2:$G$36,'Observed lines'!$F$2:$F$36,A164))</f>
        <v/>
      </c>
      <c r="F164" s="8" t="str">
        <f aca="false">IF(D164=0,"",_xlfn.MAXIFS('Observed lines'!$G$2:$G$36,'Observed lines'!$F$2:$F$36,A164))</f>
        <v/>
      </c>
      <c r="G164" s="5" t="str">
        <f aca="false">IF(D164=0,"none seen",IF(E164=F164,TEXT(E164,"$#,##0.00"),TEXT(E164,"$#,##0.00")&amp;" – "&amp;TEXT(F164,"$#,##0.00")))</f>
        <v>none seen</v>
      </c>
      <c r="H164" s="5" t="s">
        <v>1610</v>
      </c>
      <c r="I164" s="5" t="s">
        <v>776</v>
      </c>
    </row>
    <row r="165" customFormat="false" ht="15" hidden="false" customHeight="false" outlineLevel="0" collapsed="false">
      <c r="A165" s="5" t="s">
        <v>1250</v>
      </c>
      <c r="B165" s="5"/>
      <c r="C165" s="5" t="n">
        <f aca="false">COUNTIF('Observed lines'!$F$2:$F$36,A165)</f>
        <v>0</v>
      </c>
      <c r="D165" s="5" t="n">
        <f aca="false">COUNTIFS('Observed lines'!$F$2:$F$36,A165,'Observed lines'!$G$2:$G$36,"&lt;&gt;")</f>
        <v>0</v>
      </c>
      <c r="E165" s="8" t="str">
        <f aca="false">IF(D165=0,"",_xlfn.MINIFS('Observed lines'!$G$2:$G$36,'Observed lines'!$F$2:$F$36,A165))</f>
        <v/>
      </c>
      <c r="F165" s="8" t="str">
        <f aca="false">IF(D165=0,"",_xlfn.MAXIFS('Observed lines'!$G$2:$G$36,'Observed lines'!$F$2:$F$36,A165))</f>
        <v/>
      </c>
      <c r="G165" s="5" t="str">
        <f aca="false">IF(D165=0,"none seen",IF(E165=F165,TEXT(E165,"$#,##0.00"),TEXT(E165,"$#,##0.00")&amp;" – "&amp;TEXT(F165,"$#,##0.00")))</f>
        <v>none seen</v>
      </c>
      <c r="H165" s="5" t="s">
        <v>1610</v>
      </c>
      <c r="I165" s="5" t="s">
        <v>776</v>
      </c>
    </row>
    <row r="166" customFormat="false" ht="15" hidden="false" customHeight="false" outlineLevel="0" collapsed="false">
      <c r="A166" s="5" t="s">
        <v>1251</v>
      </c>
      <c r="B166" s="5"/>
      <c r="C166" s="5" t="n">
        <f aca="false">COUNTIF('Observed lines'!$F$2:$F$36,A166)</f>
        <v>0</v>
      </c>
      <c r="D166" s="5" t="n">
        <f aca="false">COUNTIFS('Observed lines'!$F$2:$F$36,A166,'Observed lines'!$G$2:$G$36,"&lt;&gt;")</f>
        <v>0</v>
      </c>
      <c r="E166" s="8" t="str">
        <f aca="false">IF(D166=0,"",_xlfn.MINIFS('Observed lines'!$G$2:$G$36,'Observed lines'!$F$2:$F$36,A166))</f>
        <v/>
      </c>
      <c r="F166" s="8" t="str">
        <f aca="false">IF(D166=0,"",_xlfn.MAXIFS('Observed lines'!$G$2:$G$36,'Observed lines'!$F$2:$F$36,A166))</f>
        <v/>
      </c>
      <c r="G166" s="5" t="str">
        <f aca="false">IF(D166=0,"none seen",IF(E166=F166,TEXT(E166,"$#,##0.00"),TEXT(E166,"$#,##0.00")&amp;" – "&amp;TEXT(F166,"$#,##0.00")))</f>
        <v>none seen</v>
      </c>
      <c r="H166" s="5" t="s">
        <v>1610</v>
      </c>
      <c r="I166" s="5" t="s">
        <v>776</v>
      </c>
    </row>
    <row r="167" customFormat="false" ht="15" hidden="false" customHeight="false" outlineLevel="0" collapsed="false">
      <c r="A167" s="5" t="s">
        <v>1252</v>
      </c>
      <c r="B167" s="5"/>
      <c r="C167" s="5" t="n">
        <f aca="false">COUNTIF('Observed lines'!$F$2:$F$36,A167)</f>
        <v>0</v>
      </c>
      <c r="D167" s="5" t="n">
        <f aca="false">COUNTIFS('Observed lines'!$F$2:$F$36,A167,'Observed lines'!$G$2:$G$36,"&lt;&gt;")</f>
        <v>0</v>
      </c>
      <c r="E167" s="8" t="str">
        <f aca="false">IF(D167=0,"",_xlfn.MINIFS('Observed lines'!$G$2:$G$36,'Observed lines'!$F$2:$F$36,A167))</f>
        <v/>
      </c>
      <c r="F167" s="8" t="str">
        <f aca="false">IF(D167=0,"",_xlfn.MAXIFS('Observed lines'!$G$2:$G$36,'Observed lines'!$F$2:$F$36,A167))</f>
        <v/>
      </c>
      <c r="G167" s="5" t="str">
        <f aca="false">IF(D167=0,"none seen",IF(E167=F167,TEXT(E167,"$#,##0.00"),TEXT(E167,"$#,##0.00")&amp;" – "&amp;TEXT(F167,"$#,##0.00")))</f>
        <v>none seen</v>
      </c>
      <c r="H167" s="5" t="s">
        <v>1610</v>
      </c>
      <c r="I167" s="5" t="s">
        <v>776</v>
      </c>
    </row>
    <row r="168" customFormat="false" ht="15" hidden="false" customHeight="false" outlineLevel="0" collapsed="false">
      <c r="A168" s="5" t="s">
        <v>1253</v>
      </c>
      <c r="B168" s="5"/>
      <c r="C168" s="5" t="n">
        <f aca="false">COUNTIF('Observed lines'!$F$2:$F$36,A168)</f>
        <v>0</v>
      </c>
      <c r="D168" s="5" t="n">
        <f aca="false">COUNTIFS('Observed lines'!$F$2:$F$36,A168,'Observed lines'!$G$2:$G$36,"&lt;&gt;")</f>
        <v>0</v>
      </c>
      <c r="E168" s="8" t="str">
        <f aca="false">IF(D168=0,"",_xlfn.MINIFS('Observed lines'!$G$2:$G$36,'Observed lines'!$F$2:$F$36,A168))</f>
        <v/>
      </c>
      <c r="F168" s="8" t="str">
        <f aca="false">IF(D168=0,"",_xlfn.MAXIFS('Observed lines'!$G$2:$G$36,'Observed lines'!$F$2:$F$36,A168))</f>
        <v/>
      </c>
      <c r="G168" s="5" t="str">
        <f aca="false">IF(D168=0,"none seen",IF(E168=F168,TEXT(E168,"$#,##0.00"),TEXT(E168,"$#,##0.00")&amp;" – "&amp;TEXT(F168,"$#,##0.00")))</f>
        <v>none seen</v>
      </c>
      <c r="H168" s="5" t="s">
        <v>1610</v>
      </c>
      <c r="I168" s="5" t="s">
        <v>776</v>
      </c>
    </row>
    <row r="169" customFormat="false" ht="15" hidden="false" customHeight="false" outlineLevel="0" collapsed="false">
      <c r="A169" s="5" t="s">
        <v>1254</v>
      </c>
      <c r="B169" s="5"/>
      <c r="C169" s="5" t="n">
        <f aca="false">COUNTIF('Observed lines'!$F$2:$F$36,A169)</f>
        <v>0</v>
      </c>
      <c r="D169" s="5" t="n">
        <f aca="false">COUNTIFS('Observed lines'!$F$2:$F$36,A169,'Observed lines'!$G$2:$G$36,"&lt;&gt;")</f>
        <v>0</v>
      </c>
      <c r="E169" s="8" t="str">
        <f aca="false">IF(D169=0,"",_xlfn.MINIFS('Observed lines'!$G$2:$G$36,'Observed lines'!$F$2:$F$36,A169))</f>
        <v/>
      </c>
      <c r="F169" s="8" t="str">
        <f aca="false">IF(D169=0,"",_xlfn.MAXIFS('Observed lines'!$G$2:$G$36,'Observed lines'!$F$2:$F$36,A169))</f>
        <v/>
      </c>
      <c r="G169" s="5" t="str">
        <f aca="false">IF(D169=0,"none seen",IF(E169=F169,TEXT(E169,"$#,##0.00"),TEXT(E169,"$#,##0.00")&amp;" – "&amp;TEXT(F169,"$#,##0.00")))</f>
        <v>none seen</v>
      </c>
      <c r="H169" s="5" t="s">
        <v>1610</v>
      </c>
      <c r="I169" s="5" t="s">
        <v>776</v>
      </c>
    </row>
    <row r="170" customFormat="false" ht="15" hidden="false" customHeight="false" outlineLevel="0" collapsed="false">
      <c r="A170" s="5" t="s">
        <v>1255</v>
      </c>
      <c r="B170" s="5"/>
      <c r="C170" s="5" t="n">
        <f aca="false">COUNTIF('Observed lines'!$F$2:$F$36,A170)</f>
        <v>0</v>
      </c>
      <c r="D170" s="5" t="n">
        <f aca="false">COUNTIFS('Observed lines'!$F$2:$F$36,A170,'Observed lines'!$G$2:$G$36,"&lt;&gt;")</f>
        <v>0</v>
      </c>
      <c r="E170" s="8" t="str">
        <f aca="false">IF(D170=0,"",_xlfn.MINIFS('Observed lines'!$G$2:$G$36,'Observed lines'!$F$2:$F$36,A170))</f>
        <v/>
      </c>
      <c r="F170" s="8" t="str">
        <f aca="false">IF(D170=0,"",_xlfn.MAXIFS('Observed lines'!$G$2:$G$36,'Observed lines'!$F$2:$F$36,A170))</f>
        <v/>
      </c>
      <c r="G170" s="5" t="str">
        <f aca="false">IF(D170=0,"none seen",IF(E170=F170,TEXT(E170,"$#,##0.00"),TEXT(E170,"$#,##0.00")&amp;" – "&amp;TEXT(F170,"$#,##0.00")))</f>
        <v>none seen</v>
      </c>
      <c r="H170" s="5" t="s">
        <v>1610</v>
      </c>
      <c r="I170" s="5" t="s">
        <v>776</v>
      </c>
    </row>
    <row r="171" customFormat="false" ht="15" hidden="false" customHeight="false" outlineLevel="0" collapsed="false">
      <c r="A171" s="5" t="s">
        <v>1256</v>
      </c>
      <c r="B171" s="5"/>
      <c r="C171" s="5" t="n">
        <f aca="false">COUNTIF('Observed lines'!$F$2:$F$36,A171)</f>
        <v>0</v>
      </c>
      <c r="D171" s="5" t="n">
        <f aca="false">COUNTIFS('Observed lines'!$F$2:$F$36,A171,'Observed lines'!$G$2:$G$36,"&lt;&gt;")</f>
        <v>0</v>
      </c>
      <c r="E171" s="8" t="str">
        <f aca="false">IF(D171=0,"",_xlfn.MINIFS('Observed lines'!$G$2:$G$36,'Observed lines'!$F$2:$F$36,A171))</f>
        <v/>
      </c>
      <c r="F171" s="8" t="str">
        <f aca="false">IF(D171=0,"",_xlfn.MAXIFS('Observed lines'!$G$2:$G$36,'Observed lines'!$F$2:$F$36,A171))</f>
        <v/>
      </c>
      <c r="G171" s="5" t="str">
        <f aca="false">IF(D171=0,"none seen",IF(E171=F171,TEXT(E171,"$#,##0.00"),TEXT(E171,"$#,##0.00")&amp;" – "&amp;TEXT(F171,"$#,##0.00")))</f>
        <v>none seen</v>
      </c>
      <c r="H171" s="5" t="s">
        <v>1610</v>
      </c>
      <c r="I171" s="5" t="s">
        <v>776</v>
      </c>
    </row>
    <row r="172" customFormat="false" ht="15" hidden="false" customHeight="false" outlineLevel="0" collapsed="false">
      <c r="A172" s="5" t="s">
        <v>1257</v>
      </c>
      <c r="B172" s="5"/>
      <c r="C172" s="5" t="n">
        <f aca="false">COUNTIF('Observed lines'!$F$2:$F$36,A172)</f>
        <v>0</v>
      </c>
      <c r="D172" s="5" t="n">
        <f aca="false">COUNTIFS('Observed lines'!$F$2:$F$36,A172,'Observed lines'!$G$2:$G$36,"&lt;&gt;")</f>
        <v>0</v>
      </c>
      <c r="E172" s="8" t="str">
        <f aca="false">IF(D172=0,"",_xlfn.MINIFS('Observed lines'!$G$2:$G$36,'Observed lines'!$F$2:$F$36,A172))</f>
        <v/>
      </c>
      <c r="F172" s="8" t="str">
        <f aca="false">IF(D172=0,"",_xlfn.MAXIFS('Observed lines'!$G$2:$G$36,'Observed lines'!$F$2:$F$36,A172))</f>
        <v/>
      </c>
      <c r="G172" s="5" t="str">
        <f aca="false">IF(D172=0,"none seen",IF(E172=F172,TEXT(E172,"$#,##0.00"),TEXT(E172,"$#,##0.00")&amp;" – "&amp;TEXT(F172,"$#,##0.00")))</f>
        <v>none seen</v>
      </c>
      <c r="H172" s="5" t="s">
        <v>1610</v>
      </c>
      <c r="I172" s="5" t="s">
        <v>776</v>
      </c>
    </row>
    <row r="173" customFormat="false" ht="15" hidden="false" customHeight="false" outlineLevel="0" collapsed="false">
      <c r="A173" s="5" t="s">
        <v>1258</v>
      </c>
      <c r="B173" s="5"/>
      <c r="C173" s="5" t="n">
        <f aca="false">COUNTIF('Observed lines'!$F$2:$F$36,A173)</f>
        <v>0</v>
      </c>
      <c r="D173" s="5" t="n">
        <f aca="false">COUNTIFS('Observed lines'!$F$2:$F$36,A173,'Observed lines'!$G$2:$G$36,"&lt;&gt;")</f>
        <v>0</v>
      </c>
      <c r="E173" s="8" t="str">
        <f aca="false">IF(D173=0,"",_xlfn.MINIFS('Observed lines'!$G$2:$G$36,'Observed lines'!$F$2:$F$36,A173))</f>
        <v/>
      </c>
      <c r="F173" s="8" t="str">
        <f aca="false">IF(D173=0,"",_xlfn.MAXIFS('Observed lines'!$G$2:$G$36,'Observed lines'!$F$2:$F$36,A173))</f>
        <v/>
      </c>
      <c r="G173" s="5" t="str">
        <f aca="false">IF(D173=0,"none seen",IF(E173=F173,TEXT(E173,"$#,##0.00"),TEXT(E173,"$#,##0.00")&amp;" – "&amp;TEXT(F173,"$#,##0.00")))</f>
        <v>none seen</v>
      </c>
      <c r="H173" s="5" t="s">
        <v>1610</v>
      </c>
      <c r="I173" s="5" t="s">
        <v>776</v>
      </c>
    </row>
    <row r="174" customFormat="false" ht="15" hidden="false" customHeight="false" outlineLevel="0" collapsed="false">
      <c r="A174" s="5" t="s">
        <v>1259</v>
      </c>
      <c r="B174" s="5"/>
      <c r="C174" s="5" t="n">
        <f aca="false">COUNTIF('Observed lines'!$F$2:$F$36,A174)</f>
        <v>0</v>
      </c>
      <c r="D174" s="5" t="n">
        <f aca="false">COUNTIFS('Observed lines'!$F$2:$F$36,A174,'Observed lines'!$G$2:$G$36,"&lt;&gt;")</f>
        <v>0</v>
      </c>
      <c r="E174" s="8" t="str">
        <f aca="false">IF(D174=0,"",_xlfn.MINIFS('Observed lines'!$G$2:$G$36,'Observed lines'!$F$2:$F$36,A174))</f>
        <v/>
      </c>
      <c r="F174" s="8" t="str">
        <f aca="false">IF(D174=0,"",_xlfn.MAXIFS('Observed lines'!$G$2:$G$36,'Observed lines'!$F$2:$F$36,A174))</f>
        <v/>
      </c>
      <c r="G174" s="5" t="str">
        <f aca="false">IF(D174=0,"none seen",IF(E174=F174,TEXT(E174,"$#,##0.00"),TEXT(E174,"$#,##0.00")&amp;" – "&amp;TEXT(F174,"$#,##0.00")))</f>
        <v>none seen</v>
      </c>
      <c r="H174" s="5" t="s">
        <v>1610</v>
      </c>
      <c r="I174" s="5" t="s">
        <v>776</v>
      </c>
    </row>
    <row r="175" customFormat="false" ht="15" hidden="false" customHeight="false" outlineLevel="0" collapsed="false">
      <c r="A175" s="5" t="s">
        <v>1260</v>
      </c>
      <c r="B175" s="5"/>
      <c r="C175" s="5" t="n">
        <f aca="false">COUNTIF('Observed lines'!$F$2:$F$36,A175)</f>
        <v>0</v>
      </c>
      <c r="D175" s="5" t="n">
        <f aca="false">COUNTIFS('Observed lines'!$F$2:$F$36,A175,'Observed lines'!$G$2:$G$36,"&lt;&gt;")</f>
        <v>0</v>
      </c>
      <c r="E175" s="8" t="str">
        <f aca="false">IF(D175=0,"",_xlfn.MINIFS('Observed lines'!$G$2:$G$36,'Observed lines'!$F$2:$F$36,A175))</f>
        <v/>
      </c>
      <c r="F175" s="8" t="str">
        <f aca="false">IF(D175=0,"",_xlfn.MAXIFS('Observed lines'!$G$2:$G$36,'Observed lines'!$F$2:$F$36,A175))</f>
        <v/>
      </c>
      <c r="G175" s="5" t="str">
        <f aca="false">IF(D175=0,"none seen",IF(E175=F175,TEXT(E175,"$#,##0.00"),TEXT(E175,"$#,##0.00")&amp;" – "&amp;TEXT(F175,"$#,##0.00")))</f>
        <v>none seen</v>
      </c>
      <c r="H175" s="5" t="s">
        <v>1610</v>
      </c>
      <c r="I175" s="5" t="s">
        <v>776</v>
      </c>
    </row>
    <row r="176" customFormat="false" ht="15" hidden="false" customHeight="false" outlineLevel="0" collapsed="false">
      <c r="A176" s="5" t="s">
        <v>1261</v>
      </c>
      <c r="B176" s="5"/>
      <c r="C176" s="5" t="n">
        <f aca="false">COUNTIF('Observed lines'!$F$2:$F$36,A176)</f>
        <v>0</v>
      </c>
      <c r="D176" s="5" t="n">
        <f aca="false">COUNTIFS('Observed lines'!$F$2:$F$36,A176,'Observed lines'!$G$2:$G$36,"&lt;&gt;")</f>
        <v>0</v>
      </c>
      <c r="E176" s="8" t="str">
        <f aca="false">IF(D176=0,"",_xlfn.MINIFS('Observed lines'!$G$2:$G$36,'Observed lines'!$F$2:$F$36,A176))</f>
        <v/>
      </c>
      <c r="F176" s="8" t="str">
        <f aca="false">IF(D176=0,"",_xlfn.MAXIFS('Observed lines'!$G$2:$G$36,'Observed lines'!$F$2:$F$36,A176))</f>
        <v/>
      </c>
      <c r="G176" s="5" t="str">
        <f aca="false">IF(D176=0,"none seen",IF(E176=F176,TEXT(E176,"$#,##0.00"),TEXT(E176,"$#,##0.00")&amp;" – "&amp;TEXT(F176,"$#,##0.00")))</f>
        <v>none seen</v>
      </c>
      <c r="H176" s="5" t="s">
        <v>1610</v>
      </c>
      <c r="I176" s="5" t="s">
        <v>776</v>
      </c>
    </row>
    <row r="177" customFormat="false" ht="15" hidden="false" customHeight="false" outlineLevel="0" collapsed="false">
      <c r="A177" s="5" t="s">
        <v>1262</v>
      </c>
      <c r="B177" s="5"/>
      <c r="C177" s="5" t="n">
        <f aca="false">COUNTIF('Observed lines'!$F$2:$F$36,A177)</f>
        <v>0</v>
      </c>
      <c r="D177" s="5" t="n">
        <f aca="false">COUNTIFS('Observed lines'!$F$2:$F$36,A177,'Observed lines'!$G$2:$G$36,"&lt;&gt;")</f>
        <v>0</v>
      </c>
      <c r="E177" s="8" t="str">
        <f aca="false">IF(D177=0,"",_xlfn.MINIFS('Observed lines'!$G$2:$G$36,'Observed lines'!$F$2:$F$36,A177))</f>
        <v/>
      </c>
      <c r="F177" s="8" t="str">
        <f aca="false">IF(D177=0,"",_xlfn.MAXIFS('Observed lines'!$G$2:$G$36,'Observed lines'!$F$2:$F$36,A177))</f>
        <v/>
      </c>
      <c r="G177" s="5" t="str">
        <f aca="false">IF(D177=0,"none seen",IF(E177=F177,TEXT(E177,"$#,##0.00"),TEXT(E177,"$#,##0.00")&amp;" – "&amp;TEXT(F177,"$#,##0.00")))</f>
        <v>none seen</v>
      </c>
      <c r="H177" s="5" t="s">
        <v>1610</v>
      </c>
      <c r="I177" s="5" t="s">
        <v>776</v>
      </c>
    </row>
    <row r="178" customFormat="false" ht="15" hidden="false" customHeight="false" outlineLevel="0" collapsed="false">
      <c r="A178" s="5" t="s">
        <v>1263</v>
      </c>
      <c r="B178" s="5"/>
      <c r="C178" s="5" t="n">
        <f aca="false">COUNTIF('Observed lines'!$F$2:$F$36,A178)</f>
        <v>0</v>
      </c>
      <c r="D178" s="5" t="n">
        <f aca="false">COUNTIFS('Observed lines'!$F$2:$F$36,A178,'Observed lines'!$G$2:$G$36,"&lt;&gt;")</f>
        <v>0</v>
      </c>
      <c r="E178" s="8" t="str">
        <f aca="false">IF(D178=0,"",_xlfn.MINIFS('Observed lines'!$G$2:$G$36,'Observed lines'!$F$2:$F$36,A178))</f>
        <v/>
      </c>
      <c r="F178" s="8" t="str">
        <f aca="false">IF(D178=0,"",_xlfn.MAXIFS('Observed lines'!$G$2:$G$36,'Observed lines'!$F$2:$F$36,A178))</f>
        <v/>
      </c>
      <c r="G178" s="5" t="str">
        <f aca="false">IF(D178=0,"none seen",IF(E178=F178,TEXT(E178,"$#,##0.00"),TEXT(E178,"$#,##0.00")&amp;" – "&amp;TEXT(F178,"$#,##0.00")))</f>
        <v>none seen</v>
      </c>
      <c r="H178" s="5" t="s">
        <v>1610</v>
      </c>
      <c r="I178" s="5" t="s">
        <v>776</v>
      </c>
    </row>
    <row r="179" customFormat="false" ht="15" hidden="false" customHeight="false" outlineLevel="0" collapsed="false">
      <c r="A179" s="5" t="s">
        <v>1264</v>
      </c>
      <c r="B179" s="5"/>
      <c r="C179" s="5" t="n">
        <f aca="false">COUNTIF('Observed lines'!$F$2:$F$36,A179)</f>
        <v>0</v>
      </c>
      <c r="D179" s="5" t="n">
        <f aca="false">COUNTIFS('Observed lines'!$F$2:$F$36,A179,'Observed lines'!$G$2:$G$36,"&lt;&gt;")</f>
        <v>0</v>
      </c>
      <c r="E179" s="8" t="str">
        <f aca="false">IF(D179=0,"",_xlfn.MINIFS('Observed lines'!$G$2:$G$36,'Observed lines'!$F$2:$F$36,A179))</f>
        <v/>
      </c>
      <c r="F179" s="8" t="str">
        <f aca="false">IF(D179=0,"",_xlfn.MAXIFS('Observed lines'!$G$2:$G$36,'Observed lines'!$F$2:$F$36,A179))</f>
        <v/>
      </c>
      <c r="G179" s="5" t="str">
        <f aca="false">IF(D179=0,"none seen",IF(E179=F179,TEXT(E179,"$#,##0.00"),TEXT(E179,"$#,##0.00")&amp;" – "&amp;TEXT(F179,"$#,##0.00")))</f>
        <v>none seen</v>
      </c>
      <c r="H179" s="5" t="s">
        <v>1610</v>
      </c>
      <c r="I179" s="5" t="s">
        <v>776</v>
      </c>
    </row>
    <row r="180" customFormat="false" ht="15" hidden="false" customHeight="false" outlineLevel="0" collapsed="false">
      <c r="A180" s="5" t="s">
        <v>1265</v>
      </c>
      <c r="B180" s="5"/>
      <c r="C180" s="5" t="n">
        <f aca="false">COUNTIF('Observed lines'!$F$2:$F$36,A180)</f>
        <v>0</v>
      </c>
      <c r="D180" s="5" t="n">
        <f aca="false">COUNTIFS('Observed lines'!$F$2:$F$36,A180,'Observed lines'!$G$2:$G$36,"&lt;&gt;")</f>
        <v>0</v>
      </c>
      <c r="E180" s="8" t="str">
        <f aca="false">IF(D180=0,"",_xlfn.MINIFS('Observed lines'!$G$2:$G$36,'Observed lines'!$F$2:$F$36,A180))</f>
        <v/>
      </c>
      <c r="F180" s="8" t="str">
        <f aca="false">IF(D180=0,"",_xlfn.MAXIFS('Observed lines'!$G$2:$G$36,'Observed lines'!$F$2:$F$36,A180))</f>
        <v/>
      </c>
      <c r="G180" s="5" t="str">
        <f aca="false">IF(D180=0,"none seen",IF(E180=F180,TEXT(E180,"$#,##0.00"),TEXT(E180,"$#,##0.00")&amp;" – "&amp;TEXT(F180,"$#,##0.00")))</f>
        <v>none seen</v>
      </c>
      <c r="H180" s="5" t="s">
        <v>1610</v>
      </c>
      <c r="I180" s="5" t="s">
        <v>776</v>
      </c>
    </row>
    <row r="181" customFormat="false" ht="15" hidden="false" customHeight="false" outlineLevel="0" collapsed="false">
      <c r="A181" s="5" t="s">
        <v>1266</v>
      </c>
      <c r="B181" s="5"/>
      <c r="C181" s="5" t="n">
        <f aca="false">COUNTIF('Observed lines'!$F$2:$F$36,A181)</f>
        <v>0</v>
      </c>
      <c r="D181" s="5" t="n">
        <f aca="false">COUNTIFS('Observed lines'!$F$2:$F$36,A181,'Observed lines'!$G$2:$G$36,"&lt;&gt;")</f>
        <v>0</v>
      </c>
      <c r="E181" s="8" t="str">
        <f aca="false">IF(D181=0,"",_xlfn.MINIFS('Observed lines'!$G$2:$G$36,'Observed lines'!$F$2:$F$36,A181))</f>
        <v/>
      </c>
      <c r="F181" s="8" t="str">
        <f aca="false">IF(D181=0,"",_xlfn.MAXIFS('Observed lines'!$G$2:$G$36,'Observed lines'!$F$2:$F$36,A181))</f>
        <v/>
      </c>
      <c r="G181" s="5" t="str">
        <f aca="false">IF(D181=0,"none seen",IF(E181=F181,TEXT(E181,"$#,##0.00"),TEXT(E181,"$#,##0.00")&amp;" – "&amp;TEXT(F181,"$#,##0.00")))</f>
        <v>none seen</v>
      </c>
      <c r="H181" s="5" t="s">
        <v>1610</v>
      </c>
      <c r="I181" s="5" t="s">
        <v>776</v>
      </c>
    </row>
    <row r="182" customFormat="false" ht="15" hidden="false" customHeight="false" outlineLevel="0" collapsed="false">
      <c r="A182" s="5" t="s">
        <v>1267</v>
      </c>
      <c r="B182" s="5"/>
      <c r="C182" s="5" t="n">
        <f aca="false">COUNTIF('Observed lines'!$F$2:$F$36,A182)</f>
        <v>0</v>
      </c>
      <c r="D182" s="5" t="n">
        <f aca="false">COUNTIFS('Observed lines'!$F$2:$F$36,A182,'Observed lines'!$G$2:$G$36,"&lt;&gt;")</f>
        <v>0</v>
      </c>
      <c r="E182" s="8" t="str">
        <f aca="false">IF(D182=0,"",_xlfn.MINIFS('Observed lines'!$G$2:$G$36,'Observed lines'!$F$2:$F$36,A182))</f>
        <v/>
      </c>
      <c r="F182" s="8" t="str">
        <f aca="false">IF(D182=0,"",_xlfn.MAXIFS('Observed lines'!$G$2:$G$36,'Observed lines'!$F$2:$F$36,A182))</f>
        <v/>
      </c>
      <c r="G182" s="5" t="str">
        <f aca="false">IF(D182=0,"none seen",IF(E182=F182,TEXT(E182,"$#,##0.00"),TEXT(E182,"$#,##0.00")&amp;" – "&amp;TEXT(F182,"$#,##0.00")))</f>
        <v>none seen</v>
      </c>
      <c r="H182" s="5" t="s">
        <v>1610</v>
      </c>
      <c r="I182" s="5" t="s">
        <v>776</v>
      </c>
    </row>
    <row r="183" customFormat="false" ht="15" hidden="false" customHeight="false" outlineLevel="0" collapsed="false">
      <c r="A183" s="5" t="s">
        <v>1268</v>
      </c>
      <c r="B183" s="5"/>
      <c r="C183" s="5" t="n">
        <f aca="false">COUNTIF('Observed lines'!$F$2:$F$36,A183)</f>
        <v>0</v>
      </c>
      <c r="D183" s="5" t="n">
        <f aca="false">COUNTIFS('Observed lines'!$F$2:$F$36,A183,'Observed lines'!$G$2:$G$36,"&lt;&gt;")</f>
        <v>0</v>
      </c>
      <c r="E183" s="8" t="str">
        <f aca="false">IF(D183=0,"",_xlfn.MINIFS('Observed lines'!$G$2:$G$36,'Observed lines'!$F$2:$F$36,A183))</f>
        <v/>
      </c>
      <c r="F183" s="8" t="str">
        <f aca="false">IF(D183=0,"",_xlfn.MAXIFS('Observed lines'!$G$2:$G$36,'Observed lines'!$F$2:$F$36,A183))</f>
        <v/>
      </c>
      <c r="G183" s="5" t="str">
        <f aca="false">IF(D183=0,"none seen",IF(E183=F183,TEXT(E183,"$#,##0.00"),TEXT(E183,"$#,##0.00")&amp;" – "&amp;TEXT(F183,"$#,##0.00")))</f>
        <v>none seen</v>
      </c>
      <c r="H183" s="5" t="s">
        <v>1610</v>
      </c>
      <c r="I183" s="5" t="s">
        <v>776</v>
      </c>
    </row>
    <row r="184" customFormat="false" ht="15" hidden="false" customHeight="false" outlineLevel="0" collapsed="false">
      <c r="A184" s="5" t="s">
        <v>1269</v>
      </c>
      <c r="B184" s="5"/>
      <c r="C184" s="5" t="n">
        <f aca="false">COUNTIF('Observed lines'!$F$2:$F$36,A184)</f>
        <v>0</v>
      </c>
      <c r="D184" s="5" t="n">
        <f aca="false">COUNTIFS('Observed lines'!$F$2:$F$36,A184,'Observed lines'!$G$2:$G$36,"&lt;&gt;")</f>
        <v>0</v>
      </c>
      <c r="E184" s="8" t="str">
        <f aca="false">IF(D184=0,"",_xlfn.MINIFS('Observed lines'!$G$2:$G$36,'Observed lines'!$F$2:$F$36,A184))</f>
        <v/>
      </c>
      <c r="F184" s="8" t="str">
        <f aca="false">IF(D184=0,"",_xlfn.MAXIFS('Observed lines'!$G$2:$G$36,'Observed lines'!$F$2:$F$36,A184))</f>
        <v/>
      </c>
      <c r="G184" s="5" t="str">
        <f aca="false">IF(D184=0,"none seen",IF(E184=F184,TEXT(E184,"$#,##0.00"),TEXT(E184,"$#,##0.00")&amp;" – "&amp;TEXT(F184,"$#,##0.00")))</f>
        <v>none seen</v>
      </c>
      <c r="H184" s="5" t="s">
        <v>1610</v>
      </c>
      <c r="I184" s="5" t="s">
        <v>776</v>
      </c>
    </row>
    <row r="185" customFormat="false" ht="15" hidden="false" customHeight="false" outlineLevel="0" collapsed="false">
      <c r="A185" s="5" t="s">
        <v>1270</v>
      </c>
      <c r="B185" s="5"/>
      <c r="C185" s="5" t="n">
        <f aca="false">COUNTIF('Observed lines'!$F$2:$F$36,A185)</f>
        <v>0</v>
      </c>
      <c r="D185" s="5" t="n">
        <f aca="false">COUNTIFS('Observed lines'!$F$2:$F$36,A185,'Observed lines'!$G$2:$G$36,"&lt;&gt;")</f>
        <v>0</v>
      </c>
      <c r="E185" s="8" t="str">
        <f aca="false">IF(D185=0,"",_xlfn.MINIFS('Observed lines'!$G$2:$G$36,'Observed lines'!$F$2:$F$36,A185))</f>
        <v/>
      </c>
      <c r="F185" s="8" t="str">
        <f aca="false">IF(D185=0,"",_xlfn.MAXIFS('Observed lines'!$G$2:$G$36,'Observed lines'!$F$2:$F$36,A185))</f>
        <v/>
      </c>
      <c r="G185" s="5" t="str">
        <f aca="false">IF(D185=0,"none seen",IF(E185=F185,TEXT(E185,"$#,##0.00"),TEXT(E185,"$#,##0.00")&amp;" – "&amp;TEXT(F185,"$#,##0.00")))</f>
        <v>none seen</v>
      </c>
      <c r="H185" s="5" t="s">
        <v>1610</v>
      </c>
      <c r="I185" s="5" t="s">
        <v>776</v>
      </c>
    </row>
    <row r="186" customFormat="false" ht="15" hidden="false" customHeight="false" outlineLevel="0" collapsed="false">
      <c r="A186" s="5" t="s">
        <v>1271</v>
      </c>
      <c r="B186" s="5"/>
      <c r="C186" s="5" t="n">
        <f aca="false">COUNTIF('Observed lines'!$F$2:$F$36,A186)</f>
        <v>0</v>
      </c>
      <c r="D186" s="5" t="n">
        <f aca="false">COUNTIFS('Observed lines'!$F$2:$F$36,A186,'Observed lines'!$G$2:$G$36,"&lt;&gt;")</f>
        <v>0</v>
      </c>
      <c r="E186" s="8" t="str">
        <f aca="false">IF(D186=0,"",_xlfn.MINIFS('Observed lines'!$G$2:$G$36,'Observed lines'!$F$2:$F$36,A186))</f>
        <v/>
      </c>
      <c r="F186" s="8" t="str">
        <f aca="false">IF(D186=0,"",_xlfn.MAXIFS('Observed lines'!$G$2:$G$36,'Observed lines'!$F$2:$F$36,A186))</f>
        <v/>
      </c>
      <c r="G186" s="5" t="str">
        <f aca="false">IF(D186=0,"none seen",IF(E186=F186,TEXT(E186,"$#,##0.00"),TEXT(E186,"$#,##0.00")&amp;" – "&amp;TEXT(F186,"$#,##0.00")))</f>
        <v>none seen</v>
      </c>
      <c r="H186" s="5" t="s">
        <v>1610</v>
      </c>
      <c r="I186" s="5" t="s">
        <v>776</v>
      </c>
    </row>
    <row r="187" customFormat="false" ht="15" hidden="false" customHeight="false" outlineLevel="0" collapsed="false">
      <c r="A187" s="5" t="s">
        <v>1272</v>
      </c>
      <c r="B187" s="5"/>
      <c r="C187" s="5" t="n">
        <f aca="false">COUNTIF('Observed lines'!$F$2:$F$36,A187)</f>
        <v>0</v>
      </c>
      <c r="D187" s="5" t="n">
        <f aca="false">COUNTIFS('Observed lines'!$F$2:$F$36,A187,'Observed lines'!$G$2:$G$36,"&lt;&gt;")</f>
        <v>0</v>
      </c>
      <c r="E187" s="8" t="str">
        <f aca="false">IF(D187=0,"",_xlfn.MINIFS('Observed lines'!$G$2:$G$36,'Observed lines'!$F$2:$F$36,A187))</f>
        <v/>
      </c>
      <c r="F187" s="8" t="str">
        <f aca="false">IF(D187=0,"",_xlfn.MAXIFS('Observed lines'!$G$2:$G$36,'Observed lines'!$F$2:$F$36,A187))</f>
        <v/>
      </c>
      <c r="G187" s="5" t="str">
        <f aca="false">IF(D187=0,"none seen",IF(E187=F187,TEXT(E187,"$#,##0.00"),TEXT(E187,"$#,##0.00")&amp;" – "&amp;TEXT(F187,"$#,##0.00")))</f>
        <v>none seen</v>
      </c>
      <c r="H187" s="5" t="s">
        <v>1610</v>
      </c>
      <c r="I187" s="5" t="s">
        <v>776</v>
      </c>
    </row>
    <row r="188" customFormat="false" ht="15" hidden="false" customHeight="false" outlineLevel="0" collapsed="false">
      <c r="A188" s="5" t="s">
        <v>1273</v>
      </c>
      <c r="B188" s="5"/>
      <c r="C188" s="5" t="n">
        <f aca="false">COUNTIF('Observed lines'!$F$2:$F$36,A188)</f>
        <v>0</v>
      </c>
      <c r="D188" s="5" t="n">
        <f aca="false">COUNTIFS('Observed lines'!$F$2:$F$36,A188,'Observed lines'!$G$2:$G$36,"&lt;&gt;")</f>
        <v>0</v>
      </c>
      <c r="E188" s="8" t="str">
        <f aca="false">IF(D188=0,"",_xlfn.MINIFS('Observed lines'!$G$2:$G$36,'Observed lines'!$F$2:$F$36,A188))</f>
        <v/>
      </c>
      <c r="F188" s="8" t="str">
        <f aca="false">IF(D188=0,"",_xlfn.MAXIFS('Observed lines'!$G$2:$G$36,'Observed lines'!$F$2:$F$36,A188))</f>
        <v/>
      </c>
      <c r="G188" s="5" t="str">
        <f aca="false">IF(D188=0,"none seen",IF(E188=F188,TEXT(E188,"$#,##0.00"),TEXT(E188,"$#,##0.00")&amp;" – "&amp;TEXT(F188,"$#,##0.00")))</f>
        <v>none seen</v>
      </c>
      <c r="H188" s="5" t="s">
        <v>1610</v>
      </c>
      <c r="I188" s="5" t="s">
        <v>776</v>
      </c>
    </row>
    <row r="189" customFormat="false" ht="15" hidden="false" customHeight="false" outlineLevel="0" collapsed="false">
      <c r="A189" s="5" t="s">
        <v>1274</v>
      </c>
      <c r="B189" s="5"/>
      <c r="C189" s="5" t="n">
        <f aca="false">COUNTIF('Observed lines'!$F$2:$F$36,A189)</f>
        <v>0</v>
      </c>
      <c r="D189" s="5" t="n">
        <f aca="false">COUNTIFS('Observed lines'!$F$2:$F$36,A189,'Observed lines'!$G$2:$G$36,"&lt;&gt;")</f>
        <v>0</v>
      </c>
      <c r="E189" s="8" t="str">
        <f aca="false">IF(D189=0,"",_xlfn.MINIFS('Observed lines'!$G$2:$G$36,'Observed lines'!$F$2:$F$36,A189))</f>
        <v/>
      </c>
      <c r="F189" s="8" t="str">
        <f aca="false">IF(D189=0,"",_xlfn.MAXIFS('Observed lines'!$G$2:$G$36,'Observed lines'!$F$2:$F$36,A189))</f>
        <v/>
      </c>
      <c r="G189" s="5" t="str">
        <f aca="false">IF(D189=0,"none seen",IF(E189=F189,TEXT(E189,"$#,##0.00"),TEXT(E189,"$#,##0.00")&amp;" – "&amp;TEXT(F189,"$#,##0.00")))</f>
        <v>none seen</v>
      </c>
      <c r="H189" s="5" t="s">
        <v>1610</v>
      </c>
      <c r="I189" s="5" t="s">
        <v>776</v>
      </c>
    </row>
    <row r="190" customFormat="false" ht="15" hidden="false" customHeight="false" outlineLevel="0" collapsed="false">
      <c r="A190" s="5" t="s">
        <v>1275</v>
      </c>
      <c r="B190" s="5"/>
      <c r="C190" s="5" t="n">
        <f aca="false">COUNTIF('Observed lines'!$F$2:$F$36,A190)</f>
        <v>0</v>
      </c>
      <c r="D190" s="5" t="n">
        <f aca="false">COUNTIFS('Observed lines'!$F$2:$F$36,A190,'Observed lines'!$G$2:$G$36,"&lt;&gt;")</f>
        <v>0</v>
      </c>
      <c r="E190" s="8" t="str">
        <f aca="false">IF(D190=0,"",_xlfn.MINIFS('Observed lines'!$G$2:$G$36,'Observed lines'!$F$2:$F$36,A190))</f>
        <v/>
      </c>
      <c r="F190" s="8" t="str">
        <f aca="false">IF(D190=0,"",_xlfn.MAXIFS('Observed lines'!$G$2:$G$36,'Observed lines'!$F$2:$F$36,A190))</f>
        <v/>
      </c>
      <c r="G190" s="5" t="str">
        <f aca="false">IF(D190=0,"none seen",IF(E190=F190,TEXT(E190,"$#,##0.00"),TEXT(E190,"$#,##0.00")&amp;" – "&amp;TEXT(F190,"$#,##0.00")))</f>
        <v>none seen</v>
      </c>
      <c r="H190" s="5" t="s">
        <v>1610</v>
      </c>
      <c r="I190" s="5" t="s">
        <v>776</v>
      </c>
    </row>
    <row r="191" customFormat="false" ht="15" hidden="false" customHeight="false" outlineLevel="0" collapsed="false">
      <c r="A191" s="5" t="s">
        <v>1276</v>
      </c>
      <c r="B191" s="5"/>
      <c r="C191" s="5" t="n">
        <f aca="false">COUNTIF('Observed lines'!$F$2:$F$36,A191)</f>
        <v>0</v>
      </c>
      <c r="D191" s="5" t="n">
        <f aca="false">COUNTIFS('Observed lines'!$F$2:$F$36,A191,'Observed lines'!$G$2:$G$36,"&lt;&gt;")</f>
        <v>0</v>
      </c>
      <c r="E191" s="8" t="str">
        <f aca="false">IF(D191=0,"",_xlfn.MINIFS('Observed lines'!$G$2:$G$36,'Observed lines'!$F$2:$F$36,A191))</f>
        <v/>
      </c>
      <c r="F191" s="8" t="str">
        <f aca="false">IF(D191=0,"",_xlfn.MAXIFS('Observed lines'!$G$2:$G$36,'Observed lines'!$F$2:$F$36,A191))</f>
        <v/>
      </c>
      <c r="G191" s="5" t="str">
        <f aca="false">IF(D191=0,"none seen",IF(E191=F191,TEXT(E191,"$#,##0.00"),TEXT(E191,"$#,##0.00")&amp;" – "&amp;TEXT(F191,"$#,##0.00")))</f>
        <v>none seen</v>
      </c>
      <c r="H191" s="5" t="s">
        <v>1610</v>
      </c>
      <c r="I191" s="5" t="s">
        <v>776</v>
      </c>
    </row>
    <row r="192" customFormat="false" ht="15" hidden="false" customHeight="false" outlineLevel="0" collapsed="false">
      <c r="A192" s="5" t="s">
        <v>1277</v>
      </c>
      <c r="B192" s="5"/>
      <c r="C192" s="5" t="n">
        <f aca="false">COUNTIF('Observed lines'!$F$2:$F$36,A192)</f>
        <v>0</v>
      </c>
      <c r="D192" s="5" t="n">
        <f aca="false">COUNTIFS('Observed lines'!$F$2:$F$36,A192,'Observed lines'!$G$2:$G$36,"&lt;&gt;")</f>
        <v>0</v>
      </c>
      <c r="E192" s="8" t="str">
        <f aca="false">IF(D192=0,"",_xlfn.MINIFS('Observed lines'!$G$2:$G$36,'Observed lines'!$F$2:$F$36,A192))</f>
        <v/>
      </c>
      <c r="F192" s="8" t="str">
        <f aca="false">IF(D192=0,"",_xlfn.MAXIFS('Observed lines'!$G$2:$G$36,'Observed lines'!$F$2:$F$36,A192))</f>
        <v/>
      </c>
      <c r="G192" s="5" t="str">
        <f aca="false">IF(D192=0,"none seen",IF(E192=F192,TEXT(E192,"$#,##0.00"),TEXT(E192,"$#,##0.00")&amp;" – "&amp;TEXT(F192,"$#,##0.00")))</f>
        <v>none seen</v>
      </c>
      <c r="H192" s="5" t="s">
        <v>1610</v>
      </c>
      <c r="I192" s="5" t="s">
        <v>776</v>
      </c>
    </row>
    <row r="193" customFormat="false" ht="15" hidden="false" customHeight="false" outlineLevel="0" collapsed="false">
      <c r="A193" s="5" t="s">
        <v>1278</v>
      </c>
      <c r="B193" s="5"/>
      <c r="C193" s="5" t="n">
        <f aca="false">COUNTIF('Observed lines'!$F$2:$F$36,A193)</f>
        <v>0</v>
      </c>
      <c r="D193" s="5" t="n">
        <f aca="false">COUNTIFS('Observed lines'!$F$2:$F$36,A193,'Observed lines'!$G$2:$G$36,"&lt;&gt;")</f>
        <v>0</v>
      </c>
      <c r="E193" s="8" t="str">
        <f aca="false">IF(D193=0,"",_xlfn.MINIFS('Observed lines'!$G$2:$G$36,'Observed lines'!$F$2:$F$36,A193))</f>
        <v/>
      </c>
      <c r="F193" s="8" t="str">
        <f aca="false">IF(D193=0,"",_xlfn.MAXIFS('Observed lines'!$G$2:$G$36,'Observed lines'!$F$2:$F$36,A193))</f>
        <v/>
      </c>
      <c r="G193" s="5" t="str">
        <f aca="false">IF(D193=0,"none seen",IF(E193=F193,TEXT(E193,"$#,##0.00"),TEXT(E193,"$#,##0.00")&amp;" – "&amp;TEXT(F193,"$#,##0.00")))</f>
        <v>none seen</v>
      </c>
      <c r="H193" s="5" t="s">
        <v>1610</v>
      </c>
      <c r="I193" s="5" t="s">
        <v>776</v>
      </c>
    </row>
    <row r="194" customFormat="false" ht="15" hidden="false" customHeight="false" outlineLevel="0" collapsed="false">
      <c r="A194" s="5" t="s">
        <v>1279</v>
      </c>
      <c r="B194" s="5"/>
      <c r="C194" s="5" t="n">
        <f aca="false">COUNTIF('Observed lines'!$F$2:$F$36,A194)</f>
        <v>0</v>
      </c>
      <c r="D194" s="5" t="n">
        <f aca="false">COUNTIFS('Observed lines'!$F$2:$F$36,A194,'Observed lines'!$G$2:$G$36,"&lt;&gt;")</f>
        <v>0</v>
      </c>
      <c r="E194" s="8" t="str">
        <f aca="false">IF(D194=0,"",_xlfn.MINIFS('Observed lines'!$G$2:$G$36,'Observed lines'!$F$2:$F$36,A194))</f>
        <v/>
      </c>
      <c r="F194" s="8" t="str">
        <f aca="false">IF(D194=0,"",_xlfn.MAXIFS('Observed lines'!$G$2:$G$36,'Observed lines'!$F$2:$F$36,A194))</f>
        <v/>
      </c>
      <c r="G194" s="5" t="str">
        <f aca="false">IF(D194=0,"none seen",IF(E194=F194,TEXT(E194,"$#,##0.00"),TEXT(E194,"$#,##0.00")&amp;" – "&amp;TEXT(F194,"$#,##0.00")))</f>
        <v>none seen</v>
      </c>
      <c r="H194" s="5" t="s">
        <v>1610</v>
      </c>
      <c r="I194" s="5" t="s">
        <v>776</v>
      </c>
    </row>
    <row r="195" customFormat="false" ht="15" hidden="false" customHeight="false" outlineLevel="0" collapsed="false">
      <c r="A195" s="5" t="s">
        <v>1280</v>
      </c>
      <c r="B195" s="5" t="s">
        <v>1281</v>
      </c>
      <c r="C195" s="5" t="n">
        <f aca="false">COUNTIF('Observed lines'!$F$2:$F$36,A195)</f>
        <v>1</v>
      </c>
      <c r="D195" s="5" t="n">
        <f aca="false">COUNTIFS('Observed lines'!$F$2:$F$36,A195,'Observed lines'!$G$2:$G$36,"&lt;&gt;")</f>
        <v>1</v>
      </c>
      <c r="E195" s="8" t="n">
        <f aca="false">IF(D195=0,"",_xlfn.MINIFS('Observed lines'!$G$2:$G$36,'Observed lines'!$F$2:$F$36,A195))</f>
        <v>96.71</v>
      </c>
      <c r="F195" s="8" t="n">
        <f aca="false">IF(D195=0,"",_xlfn.MAXIFS('Observed lines'!$G$2:$G$36,'Observed lines'!$F$2:$F$36,A195))</f>
        <v>96.71</v>
      </c>
      <c r="G195" s="5" t="str">
        <f aca="false">IF(D195=0,"none seen",IF(E195=F195,TEXT(E195,"$#,##0.00"),TEXT(E195,"$#,##0.00")&amp;" – "&amp;TEXT(F195,"$#,##0.00")))</f>
        <v>$96.71</v>
      </c>
      <c r="H195" s="5" t="s">
        <v>1611</v>
      </c>
      <c r="I195" s="5" t="s">
        <v>776</v>
      </c>
    </row>
    <row r="196" customFormat="false" ht="15" hidden="false" customHeight="false" outlineLevel="0" collapsed="false">
      <c r="A196" s="5" t="s">
        <v>1283</v>
      </c>
      <c r="B196" s="5"/>
      <c r="C196" s="5" t="n">
        <f aca="false">COUNTIF('Observed lines'!$F$2:$F$36,A196)</f>
        <v>0</v>
      </c>
      <c r="D196" s="5" t="n">
        <f aca="false">COUNTIFS('Observed lines'!$F$2:$F$36,A196,'Observed lines'!$G$2:$G$36,"&lt;&gt;")</f>
        <v>0</v>
      </c>
      <c r="E196" s="8" t="str">
        <f aca="false">IF(D196=0,"",_xlfn.MINIFS('Observed lines'!$G$2:$G$36,'Observed lines'!$F$2:$F$36,A196))</f>
        <v/>
      </c>
      <c r="F196" s="8" t="str">
        <f aca="false">IF(D196=0,"",_xlfn.MAXIFS('Observed lines'!$G$2:$G$36,'Observed lines'!$F$2:$F$36,A196))</f>
        <v/>
      </c>
      <c r="G196" s="5" t="str">
        <f aca="false">IF(D196=0,"none seen",IF(E196=F196,TEXT(E196,"$#,##0.00"),TEXT(E196,"$#,##0.00")&amp;" – "&amp;TEXT(F196,"$#,##0.00")))</f>
        <v>none seen</v>
      </c>
      <c r="H196" s="5" t="s">
        <v>1610</v>
      </c>
      <c r="I196" s="5" t="s">
        <v>776</v>
      </c>
    </row>
    <row r="197" customFormat="false" ht="15" hidden="false" customHeight="false" outlineLevel="0" collapsed="false">
      <c r="A197" s="5" t="s">
        <v>1284</v>
      </c>
      <c r="B197" s="5"/>
      <c r="C197" s="5" t="n">
        <f aca="false">COUNTIF('Observed lines'!$F$2:$F$36,A197)</f>
        <v>0</v>
      </c>
      <c r="D197" s="5" t="n">
        <f aca="false">COUNTIFS('Observed lines'!$F$2:$F$36,A197,'Observed lines'!$G$2:$G$36,"&lt;&gt;")</f>
        <v>0</v>
      </c>
      <c r="E197" s="8" t="str">
        <f aca="false">IF(D197=0,"",_xlfn.MINIFS('Observed lines'!$G$2:$G$36,'Observed lines'!$F$2:$F$36,A197))</f>
        <v/>
      </c>
      <c r="F197" s="8" t="str">
        <f aca="false">IF(D197=0,"",_xlfn.MAXIFS('Observed lines'!$G$2:$G$36,'Observed lines'!$F$2:$F$36,A197))</f>
        <v/>
      </c>
      <c r="G197" s="5" t="str">
        <f aca="false">IF(D197=0,"none seen",IF(E197=F197,TEXT(E197,"$#,##0.00"),TEXT(E197,"$#,##0.00")&amp;" – "&amp;TEXT(F197,"$#,##0.00")))</f>
        <v>none seen</v>
      </c>
      <c r="H197" s="5" t="s">
        <v>1610</v>
      </c>
      <c r="I197" s="5" t="s">
        <v>776</v>
      </c>
    </row>
    <row r="198" customFormat="false" ht="15" hidden="false" customHeight="false" outlineLevel="0" collapsed="false">
      <c r="A198" s="5" t="s">
        <v>1285</v>
      </c>
      <c r="B198" s="5"/>
      <c r="C198" s="5" t="n">
        <f aca="false">COUNTIF('Observed lines'!$F$2:$F$36,A198)</f>
        <v>0</v>
      </c>
      <c r="D198" s="5" t="n">
        <f aca="false">COUNTIFS('Observed lines'!$F$2:$F$36,A198,'Observed lines'!$G$2:$G$36,"&lt;&gt;")</f>
        <v>0</v>
      </c>
      <c r="E198" s="8" t="str">
        <f aca="false">IF(D198=0,"",_xlfn.MINIFS('Observed lines'!$G$2:$G$36,'Observed lines'!$F$2:$F$36,A198))</f>
        <v/>
      </c>
      <c r="F198" s="8" t="str">
        <f aca="false">IF(D198=0,"",_xlfn.MAXIFS('Observed lines'!$G$2:$G$36,'Observed lines'!$F$2:$F$36,A198))</f>
        <v/>
      </c>
      <c r="G198" s="5" t="str">
        <f aca="false">IF(D198=0,"none seen",IF(E198=F198,TEXT(E198,"$#,##0.00"),TEXT(E198,"$#,##0.00")&amp;" – "&amp;TEXT(F198,"$#,##0.00")))</f>
        <v>none seen</v>
      </c>
      <c r="H198" s="5" t="s">
        <v>1610</v>
      </c>
      <c r="I198" s="5" t="s">
        <v>776</v>
      </c>
    </row>
    <row r="199" customFormat="false" ht="15" hidden="false" customHeight="false" outlineLevel="0" collapsed="false">
      <c r="A199" s="5" t="s">
        <v>1286</v>
      </c>
      <c r="B199" s="5"/>
      <c r="C199" s="5" t="n">
        <f aca="false">COUNTIF('Observed lines'!$F$2:$F$36,A199)</f>
        <v>0</v>
      </c>
      <c r="D199" s="5" t="n">
        <f aca="false">COUNTIFS('Observed lines'!$F$2:$F$36,A199,'Observed lines'!$G$2:$G$36,"&lt;&gt;")</f>
        <v>0</v>
      </c>
      <c r="E199" s="8" t="str">
        <f aca="false">IF(D199=0,"",_xlfn.MINIFS('Observed lines'!$G$2:$G$36,'Observed lines'!$F$2:$F$36,A199))</f>
        <v/>
      </c>
      <c r="F199" s="8" t="str">
        <f aca="false">IF(D199=0,"",_xlfn.MAXIFS('Observed lines'!$G$2:$G$36,'Observed lines'!$F$2:$F$36,A199))</f>
        <v/>
      </c>
      <c r="G199" s="5" t="str">
        <f aca="false">IF(D199=0,"none seen",IF(E199=F199,TEXT(E199,"$#,##0.00"),TEXT(E199,"$#,##0.00")&amp;" – "&amp;TEXT(F199,"$#,##0.00")))</f>
        <v>none seen</v>
      </c>
      <c r="H199" s="5" t="s">
        <v>1610</v>
      </c>
      <c r="I199" s="5" t="s">
        <v>776</v>
      </c>
    </row>
    <row r="200" customFormat="false" ht="15" hidden="false" customHeight="false" outlineLevel="0" collapsed="false">
      <c r="A200" s="5" t="s">
        <v>1287</v>
      </c>
      <c r="B200" s="5"/>
      <c r="C200" s="5" t="n">
        <f aca="false">COUNTIF('Observed lines'!$F$2:$F$36,A200)</f>
        <v>0</v>
      </c>
      <c r="D200" s="5" t="n">
        <f aca="false">COUNTIFS('Observed lines'!$F$2:$F$36,A200,'Observed lines'!$G$2:$G$36,"&lt;&gt;")</f>
        <v>0</v>
      </c>
      <c r="E200" s="8" t="str">
        <f aca="false">IF(D200=0,"",_xlfn.MINIFS('Observed lines'!$G$2:$G$36,'Observed lines'!$F$2:$F$36,A200))</f>
        <v/>
      </c>
      <c r="F200" s="8" t="str">
        <f aca="false">IF(D200=0,"",_xlfn.MAXIFS('Observed lines'!$G$2:$G$36,'Observed lines'!$F$2:$F$36,A200))</f>
        <v/>
      </c>
      <c r="G200" s="5" t="str">
        <f aca="false">IF(D200=0,"none seen",IF(E200=F200,TEXT(E200,"$#,##0.00"),TEXT(E200,"$#,##0.00")&amp;" – "&amp;TEXT(F200,"$#,##0.00")))</f>
        <v>none seen</v>
      </c>
      <c r="H200" s="5" t="s">
        <v>1610</v>
      </c>
      <c r="I200" s="5" t="s">
        <v>776</v>
      </c>
    </row>
    <row r="201" customFormat="false" ht="15" hidden="false" customHeight="false" outlineLevel="0" collapsed="false">
      <c r="A201" s="5" t="s">
        <v>1288</v>
      </c>
      <c r="B201" s="5"/>
      <c r="C201" s="5" t="n">
        <f aca="false">COUNTIF('Observed lines'!$F$2:$F$36,A201)</f>
        <v>0</v>
      </c>
      <c r="D201" s="5" t="n">
        <f aca="false">COUNTIFS('Observed lines'!$F$2:$F$36,A201,'Observed lines'!$G$2:$G$36,"&lt;&gt;")</f>
        <v>0</v>
      </c>
      <c r="E201" s="8" t="str">
        <f aca="false">IF(D201=0,"",_xlfn.MINIFS('Observed lines'!$G$2:$G$36,'Observed lines'!$F$2:$F$36,A201))</f>
        <v/>
      </c>
      <c r="F201" s="8" t="str">
        <f aca="false">IF(D201=0,"",_xlfn.MAXIFS('Observed lines'!$G$2:$G$36,'Observed lines'!$F$2:$F$36,A201))</f>
        <v/>
      </c>
      <c r="G201" s="5" t="str">
        <f aca="false">IF(D201=0,"none seen",IF(E201=F201,TEXT(E201,"$#,##0.00"),TEXT(E201,"$#,##0.00")&amp;" – "&amp;TEXT(F201,"$#,##0.00")))</f>
        <v>none seen</v>
      </c>
      <c r="H201" s="5" t="s">
        <v>1610</v>
      </c>
      <c r="I201" s="5" t="s">
        <v>776</v>
      </c>
    </row>
    <row r="202" customFormat="false" ht="15" hidden="false" customHeight="false" outlineLevel="0" collapsed="false">
      <c r="A202" s="5" t="s">
        <v>1289</v>
      </c>
      <c r="B202" s="5"/>
      <c r="C202" s="5" t="n">
        <f aca="false">COUNTIF('Observed lines'!$F$2:$F$36,A202)</f>
        <v>0</v>
      </c>
      <c r="D202" s="5" t="n">
        <f aca="false">COUNTIFS('Observed lines'!$F$2:$F$36,A202,'Observed lines'!$G$2:$G$36,"&lt;&gt;")</f>
        <v>0</v>
      </c>
      <c r="E202" s="8" t="str">
        <f aca="false">IF(D202=0,"",_xlfn.MINIFS('Observed lines'!$G$2:$G$36,'Observed lines'!$F$2:$F$36,A202))</f>
        <v/>
      </c>
      <c r="F202" s="8" t="str">
        <f aca="false">IF(D202=0,"",_xlfn.MAXIFS('Observed lines'!$G$2:$G$36,'Observed lines'!$F$2:$F$36,A202))</f>
        <v/>
      </c>
      <c r="G202" s="5" t="str">
        <f aca="false">IF(D202=0,"none seen",IF(E202=F202,TEXT(E202,"$#,##0.00"),TEXT(E202,"$#,##0.00")&amp;" – "&amp;TEXT(F202,"$#,##0.00")))</f>
        <v>none seen</v>
      </c>
      <c r="H202" s="5" t="s">
        <v>1610</v>
      </c>
      <c r="I202" s="5" t="s">
        <v>776</v>
      </c>
    </row>
    <row r="203" customFormat="false" ht="15" hidden="false" customHeight="false" outlineLevel="0" collapsed="false">
      <c r="A203" s="5" t="s">
        <v>1290</v>
      </c>
      <c r="B203" s="5"/>
      <c r="C203" s="5" t="n">
        <f aca="false">COUNTIF('Observed lines'!$F$2:$F$36,A203)</f>
        <v>0</v>
      </c>
      <c r="D203" s="5" t="n">
        <f aca="false">COUNTIFS('Observed lines'!$F$2:$F$36,A203,'Observed lines'!$G$2:$G$36,"&lt;&gt;")</f>
        <v>0</v>
      </c>
      <c r="E203" s="8" t="str">
        <f aca="false">IF(D203=0,"",_xlfn.MINIFS('Observed lines'!$G$2:$G$36,'Observed lines'!$F$2:$F$36,A203))</f>
        <v/>
      </c>
      <c r="F203" s="8" t="str">
        <f aca="false">IF(D203=0,"",_xlfn.MAXIFS('Observed lines'!$G$2:$G$36,'Observed lines'!$F$2:$F$36,A203))</f>
        <v/>
      </c>
      <c r="G203" s="5" t="str">
        <f aca="false">IF(D203=0,"none seen",IF(E203=F203,TEXT(E203,"$#,##0.00"),TEXT(E203,"$#,##0.00")&amp;" – "&amp;TEXT(F203,"$#,##0.00")))</f>
        <v>none seen</v>
      </c>
      <c r="H203" s="5" t="s">
        <v>1610</v>
      </c>
      <c r="I203" s="5" t="s">
        <v>776</v>
      </c>
    </row>
    <row r="204" customFormat="false" ht="15" hidden="false" customHeight="false" outlineLevel="0" collapsed="false">
      <c r="A204" s="5" t="s">
        <v>1291</v>
      </c>
      <c r="B204" s="5"/>
      <c r="C204" s="5" t="n">
        <f aca="false">COUNTIF('Observed lines'!$F$2:$F$36,A204)</f>
        <v>0</v>
      </c>
      <c r="D204" s="5" t="n">
        <f aca="false">COUNTIFS('Observed lines'!$F$2:$F$36,A204,'Observed lines'!$G$2:$G$36,"&lt;&gt;")</f>
        <v>0</v>
      </c>
      <c r="E204" s="8" t="str">
        <f aca="false">IF(D204=0,"",_xlfn.MINIFS('Observed lines'!$G$2:$G$36,'Observed lines'!$F$2:$F$36,A204))</f>
        <v/>
      </c>
      <c r="F204" s="8" t="str">
        <f aca="false">IF(D204=0,"",_xlfn.MAXIFS('Observed lines'!$G$2:$G$36,'Observed lines'!$F$2:$F$36,A204))</f>
        <v/>
      </c>
      <c r="G204" s="5" t="str">
        <f aca="false">IF(D204=0,"none seen",IF(E204=F204,TEXT(E204,"$#,##0.00"),TEXT(E204,"$#,##0.00")&amp;" – "&amp;TEXT(F204,"$#,##0.00")))</f>
        <v>none seen</v>
      </c>
      <c r="H204" s="5" t="s">
        <v>1610</v>
      </c>
      <c r="I204" s="5" t="s">
        <v>776</v>
      </c>
    </row>
    <row r="205" customFormat="false" ht="15" hidden="false" customHeight="false" outlineLevel="0" collapsed="false">
      <c r="A205" s="5" t="s">
        <v>1292</v>
      </c>
      <c r="B205" s="5"/>
      <c r="C205" s="5" t="n">
        <f aca="false">COUNTIF('Observed lines'!$F$2:$F$36,A205)</f>
        <v>0</v>
      </c>
      <c r="D205" s="5" t="n">
        <f aca="false">COUNTIFS('Observed lines'!$F$2:$F$36,A205,'Observed lines'!$G$2:$G$36,"&lt;&gt;")</f>
        <v>0</v>
      </c>
      <c r="E205" s="8" t="str">
        <f aca="false">IF(D205=0,"",_xlfn.MINIFS('Observed lines'!$G$2:$G$36,'Observed lines'!$F$2:$F$36,A205))</f>
        <v/>
      </c>
      <c r="F205" s="8" t="str">
        <f aca="false">IF(D205=0,"",_xlfn.MAXIFS('Observed lines'!$G$2:$G$36,'Observed lines'!$F$2:$F$36,A205))</f>
        <v/>
      </c>
      <c r="G205" s="5" t="str">
        <f aca="false">IF(D205=0,"none seen",IF(E205=F205,TEXT(E205,"$#,##0.00"),TEXT(E205,"$#,##0.00")&amp;" – "&amp;TEXT(F205,"$#,##0.00")))</f>
        <v>none seen</v>
      </c>
      <c r="H205" s="5" t="s">
        <v>1610</v>
      </c>
      <c r="I205" s="5" t="s">
        <v>776</v>
      </c>
    </row>
    <row r="206" customFormat="false" ht="15" hidden="false" customHeight="false" outlineLevel="0" collapsed="false">
      <c r="A206" s="5" t="s">
        <v>1293</v>
      </c>
      <c r="B206" s="5"/>
      <c r="C206" s="5" t="n">
        <f aca="false">COUNTIF('Observed lines'!$F$2:$F$36,A206)</f>
        <v>0</v>
      </c>
      <c r="D206" s="5" t="n">
        <f aca="false">COUNTIFS('Observed lines'!$F$2:$F$36,A206,'Observed lines'!$G$2:$G$36,"&lt;&gt;")</f>
        <v>0</v>
      </c>
      <c r="E206" s="8" t="str">
        <f aca="false">IF(D206=0,"",_xlfn.MINIFS('Observed lines'!$G$2:$G$36,'Observed lines'!$F$2:$F$36,A206))</f>
        <v/>
      </c>
      <c r="F206" s="8" t="str">
        <f aca="false">IF(D206=0,"",_xlfn.MAXIFS('Observed lines'!$G$2:$G$36,'Observed lines'!$F$2:$F$36,A206))</f>
        <v/>
      </c>
      <c r="G206" s="5" t="str">
        <f aca="false">IF(D206=0,"none seen",IF(E206=F206,TEXT(E206,"$#,##0.00"),TEXT(E206,"$#,##0.00")&amp;" – "&amp;TEXT(F206,"$#,##0.00")))</f>
        <v>none seen</v>
      </c>
      <c r="H206" s="5" t="s">
        <v>1610</v>
      </c>
      <c r="I206" s="5" t="s">
        <v>776</v>
      </c>
    </row>
    <row r="207" customFormat="false" ht="15" hidden="false" customHeight="false" outlineLevel="0" collapsed="false">
      <c r="A207" s="5" t="s">
        <v>1294</v>
      </c>
      <c r="B207" s="5"/>
      <c r="C207" s="5" t="n">
        <f aca="false">COUNTIF('Observed lines'!$F$2:$F$36,A207)</f>
        <v>0</v>
      </c>
      <c r="D207" s="5" t="n">
        <f aca="false">COUNTIFS('Observed lines'!$F$2:$F$36,A207,'Observed lines'!$G$2:$G$36,"&lt;&gt;")</f>
        <v>0</v>
      </c>
      <c r="E207" s="8" t="str">
        <f aca="false">IF(D207=0,"",_xlfn.MINIFS('Observed lines'!$G$2:$G$36,'Observed lines'!$F$2:$F$36,A207))</f>
        <v/>
      </c>
      <c r="F207" s="8" t="str">
        <f aca="false">IF(D207=0,"",_xlfn.MAXIFS('Observed lines'!$G$2:$G$36,'Observed lines'!$F$2:$F$36,A207))</f>
        <v/>
      </c>
      <c r="G207" s="5" t="str">
        <f aca="false">IF(D207=0,"none seen",IF(E207=F207,TEXT(E207,"$#,##0.00"),TEXT(E207,"$#,##0.00")&amp;" – "&amp;TEXT(F207,"$#,##0.00")))</f>
        <v>none seen</v>
      </c>
      <c r="H207" s="5" t="s">
        <v>1610</v>
      </c>
      <c r="I207" s="5" t="s">
        <v>776</v>
      </c>
    </row>
    <row r="208" customFormat="false" ht="15" hidden="false" customHeight="false" outlineLevel="0" collapsed="false">
      <c r="A208" s="5" t="s">
        <v>1295</v>
      </c>
      <c r="B208" s="5"/>
      <c r="C208" s="5" t="n">
        <f aca="false">COUNTIF('Observed lines'!$F$2:$F$36,A208)</f>
        <v>0</v>
      </c>
      <c r="D208" s="5" t="n">
        <f aca="false">COUNTIFS('Observed lines'!$F$2:$F$36,A208,'Observed lines'!$G$2:$G$36,"&lt;&gt;")</f>
        <v>0</v>
      </c>
      <c r="E208" s="8" t="str">
        <f aca="false">IF(D208=0,"",_xlfn.MINIFS('Observed lines'!$G$2:$G$36,'Observed lines'!$F$2:$F$36,A208))</f>
        <v/>
      </c>
      <c r="F208" s="8" t="str">
        <f aca="false">IF(D208=0,"",_xlfn.MAXIFS('Observed lines'!$G$2:$G$36,'Observed lines'!$F$2:$F$36,A208))</f>
        <v/>
      </c>
      <c r="G208" s="5" t="str">
        <f aca="false">IF(D208=0,"none seen",IF(E208=F208,TEXT(E208,"$#,##0.00"),TEXT(E208,"$#,##0.00")&amp;" – "&amp;TEXT(F208,"$#,##0.00")))</f>
        <v>none seen</v>
      </c>
      <c r="H208" s="5" t="s">
        <v>1610</v>
      </c>
      <c r="I208" s="5" t="s">
        <v>776</v>
      </c>
    </row>
    <row r="209" customFormat="false" ht="15" hidden="false" customHeight="false" outlineLevel="0" collapsed="false">
      <c r="A209" s="5" t="s">
        <v>1296</v>
      </c>
      <c r="B209" s="5"/>
      <c r="C209" s="5" t="n">
        <f aca="false">COUNTIF('Observed lines'!$F$2:$F$36,A209)</f>
        <v>0</v>
      </c>
      <c r="D209" s="5" t="n">
        <f aca="false">COUNTIFS('Observed lines'!$F$2:$F$36,A209,'Observed lines'!$G$2:$G$36,"&lt;&gt;")</f>
        <v>0</v>
      </c>
      <c r="E209" s="8" t="str">
        <f aca="false">IF(D209=0,"",_xlfn.MINIFS('Observed lines'!$G$2:$G$36,'Observed lines'!$F$2:$F$36,A209))</f>
        <v/>
      </c>
      <c r="F209" s="8" t="str">
        <f aca="false">IF(D209=0,"",_xlfn.MAXIFS('Observed lines'!$G$2:$G$36,'Observed lines'!$F$2:$F$36,A209))</f>
        <v/>
      </c>
      <c r="G209" s="5" t="str">
        <f aca="false">IF(D209=0,"none seen",IF(E209=F209,TEXT(E209,"$#,##0.00"),TEXT(E209,"$#,##0.00")&amp;" – "&amp;TEXT(F209,"$#,##0.00")))</f>
        <v>none seen</v>
      </c>
      <c r="H209" s="5" t="s">
        <v>1610</v>
      </c>
      <c r="I209" s="5" t="s">
        <v>776</v>
      </c>
    </row>
    <row r="210" customFormat="false" ht="15" hidden="false" customHeight="false" outlineLevel="0" collapsed="false">
      <c r="A210" s="5" t="s">
        <v>1297</v>
      </c>
      <c r="B210" s="5"/>
      <c r="C210" s="5" t="n">
        <f aca="false">COUNTIF('Observed lines'!$F$2:$F$36,A210)</f>
        <v>0</v>
      </c>
      <c r="D210" s="5" t="n">
        <f aca="false">COUNTIFS('Observed lines'!$F$2:$F$36,A210,'Observed lines'!$G$2:$G$36,"&lt;&gt;")</f>
        <v>0</v>
      </c>
      <c r="E210" s="8" t="str">
        <f aca="false">IF(D210=0,"",_xlfn.MINIFS('Observed lines'!$G$2:$G$36,'Observed lines'!$F$2:$F$36,A210))</f>
        <v/>
      </c>
      <c r="F210" s="8" t="str">
        <f aca="false">IF(D210=0,"",_xlfn.MAXIFS('Observed lines'!$G$2:$G$36,'Observed lines'!$F$2:$F$36,A210))</f>
        <v/>
      </c>
      <c r="G210" s="5" t="str">
        <f aca="false">IF(D210=0,"none seen",IF(E210=F210,TEXT(E210,"$#,##0.00"),TEXT(E210,"$#,##0.00")&amp;" – "&amp;TEXT(F210,"$#,##0.00")))</f>
        <v>none seen</v>
      </c>
      <c r="H210" s="5" t="s">
        <v>1610</v>
      </c>
      <c r="I210" s="5" t="s">
        <v>776</v>
      </c>
    </row>
    <row r="211" customFormat="false" ht="15" hidden="false" customHeight="false" outlineLevel="0" collapsed="false">
      <c r="A211" s="5" t="s">
        <v>1298</v>
      </c>
      <c r="B211" s="5"/>
      <c r="C211" s="5" t="n">
        <f aca="false">COUNTIF('Observed lines'!$F$2:$F$36,A211)</f>
        <v>0</v>
      </c>
      <c r="D211" s="5" t="n">
        <f aca="false">COUNTIFS('Observed lines'!$F$2:$F$36,A211,'Observed lines'!$G$2:$G$36,"&lt;&gt;")</f>
        <v>0</v>
      </c>
      <c r="E211" s="8" t="str">
        <f aca="false">IF(D211=0,"",_xlfn.MINIFS('Observed lines'!$G$2:$G$36,'Observed lines'!$F$2:$F$36,A211))</f>
        <v/>
      </c>
      <c r="F211" s="8" t="str">
        <f aca="false">IF(D211=0,"",_xlfn.MAXIFS('Observed lines'!$G$2:$G$36,'Observed lines'!$F$2:$F$36,A211))</f>
        <v/>
      </c>
      <c r="G211" s="5" t="str">
        <f aca="false">IF(D211=0,"none seen",IF(E211=F211,TEXT(E211,"$#,##0.00"),TEXT(E211,"$#,##0.00")&amp;" – "&amp;TEXT(F211,"$#,##0.00")))</f>
        <v>none seen</v>
      </c>
      <c r="H211" s="5" t="s">
        <v>1610</v>
      </c>
      <c r="I211" s="5" t="s">
        <v>776</v>
      </c>
    </row>
    <row r="212" customFormat="false" ht="15" hidden="false" customHeight="false" outlineLevel="0" collapsed="false">
      <c r="A212" s="5" t="s">
        <v>1299</v>
      </c>
      <c r="B212" s="5"/>
      <c r="C212" s="5" t="n">
        <f aca="false">COUNTIF('Observed lines'!$F$2:$F$36,A212)</f>
        <v>0</v>
      </c>
      <c r="D212" s="5" t="n">
        <f aca="false">COUNTIFS('Observed lines'!$F$2:$F$36,A212,'Observed lines'!$G$2:$G$36,"&lt;&gt;")</f>
        <v>0</v>
      </c>
      <c r="E212" s="8" t="str">
        <f aca="false">IF(D212=0,"",_xlfn.MINIFS('Observed lines'!$G$2:$G$36,'Observed lines'!$F$2:$F$36,A212))</f>
        <v/>
      </c>
      <c r="F212" s="8" t="str">
        <f aca="false">IF(D212=0,"",_xlfn.MAXIFS('Observed lines'!$G$2:$G$36,'Observed lines'!$F$2:$F$36,A212))</f>
        <v/>
      </c>
      <c r="G212" s="5" t="str">
        <f aca="false">IF(D212=0,"none seen",IF(E212=F212,TEXT(E212,"$#,##0.00"),TEXT(E212,"$#,##0.00")&amp;" – "&amp;TEXT(F212,"$#,##0.00")))</f>
        <v>none seen</v>
      </c>
      <c r="H212" s="5" t="s">
        <v>1610</v>
      </c>
      <c r="I212" s="5" t="s">
        <v>776</v>
      </c>
    </row>
    <row r="213" customFormat="false" ht="15" hidden="false" customHeight="false" outlineLevel="0" collapsed="false">
      <c r="A213" s="5" t="s">
        <v>1300</v>
      </c>
      <c r="B213" s="5"/>
      <c r="C213" s="5" t="n">
        <f aca="false">COUNTIF('Observed lines'!$F$2:$F$36,A213)</f>
        <v>0</v>
      </c>
      <c r="D213" s="5" t="n">
        <f aca="false">COUNTIFS('Observed lines'!$F$2:$F$36,A213,'Observed lines'!$G$2:$G$36,"&lt;&gt;")</f>
        <v>0</v>
      </c>
      <c r="E213" s="8" t="str">
        <f aca="false">IF(D213=0,"",_xlfn.MINIFS('Observed lines'!$G$2:$G$36,'Observed lines'!$F$2:$F$36,A213))</f>
        <v/>
      </c>
      <c r="F213" s="8" t="str">
        <f aca="false">IF(D213=0,"",_xlfn.MAXIFS('Observed lines'!$G$2:$G$36,'Observed lines'!$F$2:$F$36,A213))</f>
        <v/>
      </c>
      <c r="G213" s="5" t="str">
        <f aca="false">IF(D213=0,"none seen",IF(E213=F213,TEXT(E213,"$#,##0.00"),TEXT(E213,"$#,##0.00")&amp;" – "&amp;TEXT(F213,"$#,##0.00")))</f>
        <v>none seen</v>
      </c>
      <c r="H213" s="5" t="s">
        <v>1610</v>
      </c>
      <c r="I213" s="5" t="s">
        <v>776</v>
      </c>
    </row>
    <row r="214" customFormat="false" ht="15" hidden="false" customHeight="false" outlineLevel="0" collapsed="false">
      <c r="A214" s="5" t="s">
        <v>1301</v>
      </c>
      <c r="B214" s="5"/>
      <c r="C214" s="5" t="n">
        <f aca="false">COUNTIF('Observed lines'!$F$2:$F$36,A214)</f>
        <v>0</v>
      </c>
      <c r="D214" s="5" t="n">
        <f aca="false">COUNTIFS('Observed lines'!$F$2:$F$36,A214,'Observed lines'!$G$2:$G$36,"&lt;&gt;")</f>
        <v>0</v>
      </c>
      <c r="E214" s="8" t="str">
        <f aca="false">IF(D214=0,"",_xlfn.MINIFS('Observed lines'!$G$2:$G$36,'Observed lines'!$F$2:$F$36,A214))</f>
        <v/>
      </c>
      <c r="F214" s="8" t="str">
        <f aca="false">IF(D214=0,"",_xlfn.MAXIFS('Observed lines'!$G$2:$G$36,'Observed lines'!$F$2:$F$36,A214))</f>
        <v/>
      </c>
      <c r="G214" s="5" t="str">
        <f aca="false">IF(D214=0,"none seen",IF(E214=F214,TEXT(E214,"$#,##0.00"),TEXT(E214,"$#,##0.00")&amp;" – "&amp;TEXT(F214,"$#,##0.00")))</f>
        <v>none seen</v>
      </c>
      <c r="H214" s="5" t="s">
        <v>1610</v>
      </c>
      <c r="I214" s="5" t="s">
        <v>776</v>
      </c>
    </row>
    <row r="215" customFormat="false" ht="15" hidden="false" customHeight="false" outlineLevel="0" collapsed="false">
      <c r="A215" s="5" t="s">
        <v>1302</v>
      </c>
      <c r="B215" s="5"/>
      <c r="C215" s="5" t="n">
        <f aca="false">COUNTIF('Observed lines'!$F$2:$F$36,A215)</f>
        <v>0</v>
      </c>
      <c r="D215" s="5" t="n">
        <f aca="false">COUNTIFS('Observed lines'!$F$2:$F$36,A215,'Observed lines'!$G$2:$G$36,"&lt;&gt;")</f>
        <v>0</v>
      </c>
      <c r="E215" s="8" t="str">
        <f aca="false">IF(D215=0,"",_xlfn.MINIFS('Observed lines'!$G$2:$G$36,'Observed lines'!$F$2:$F$36,A215))</f>
        <v/>
      </c>
      <c r="F215" s="8" t="str">
        <f aca="false">IF(D215=0,"",_xlfn.MAXIFS('Observed lines'!$G$2:$G$36,'Observed lines'!$F$2:$F$36,A215))</f>
        <v/>
      </c>
      <c r="G215" s="5" t="str">
        <f aca="false">IF(D215=0,"none seen",IF(E215=F215,TEXT(E215,"$#,##0.00"),TEXT(E215,"$#,##0.00")&amp;" – "&amp;TEXT(F215,"$#,##0.00")))</f>
        <v>none seen</v>
      </c>
      <c r="H215" s="5" t="s">
        <v>1610</v>
      </c>
      <c r="I215" s="5" t="s">
        <v>776</v>
      </c>
    </row>
    <row r="216" customFormat="false" ht="15" hidden="false" customHeight="false" outlineLevel="0" collapsed="false">
      <c r="A216" s="5" t="s">
        <v>1303</v>
      </c>
      <c r="B216" s="5"/>
      <c r="C216" s="5" t="n">
        <f aca="false">COUNTIF('Observed lines'!$F$2:$F$36,A216)</f>
        <v>0</v>
      </c>
      <c r="D216" s="5" t="n">
        <f aca="false">COUNTIFS('Observed lines'!$F$2:$F$36,A216,'Observed lines'!$G$2:$G$36,"&lt;&gt;")</f>
        <v>0</v>
      </c>
      <c r="E216" s="8" t="str">
        <f aca="false">IF(D216=0,"",_xlfn.MINIFS('Observed lines'!$G$2:$G$36,'Observed lines'!$F$2:$F$36,A216))</f>
        <v/>
      </c>
      <c r="F216" s="8" t="str">
        <f aca="false">IF(D216=0,"",_xlfn.MAXIFS('Observed lines'!$G$2:$G$36,'Observed lines'!$F$2:$F$36,A216))</f>
        <v/>
      </c>
      <c r="G216" s="5" t="str">
        <f aca="false">IF(D216=0,"none seen",IF(E216=F216,TEXT(E216,"$#,##0.00"),TEXT(E216,"$#,##0.00")&amp;" – "&amp;TEXT(F216,"$#,##0.00")))</f>
        <v>none seen</v>
      </c>
      <c r="H216" s="5" t="s">
        <v>1610</v>
      </c>
      <c r="I216" s="5" t="s">
        <v>776</v>
      </c>
    </row>
    <row r="217" customFormat="false" ht="15" hidden="false" customHeight="false" outlineLevel="0" collapsed="false">
      <c r="A217" s="5" t="s">
        <v>1304</v>
      </c>
      <c r="B217" s="5"/>
      <c r="C217" s="5" t="n">
        <f aca="false">COUNTIF('Observed lines'!$F$2:$F$36,A217)</f>
        <v>0</v>
      </c>
      <c r="D217" s="5" t="n">
        <f aca="false">COUNTIFS('Observed lines'!$F$2:$F$36,A217,'Observed lines'!$G$2:$G$36,"&lt;&gt;")</f>
        <v>0</v>
      </c>
      <c r="E217" s="8" t="str">
        <f aca="false">IF(D217=0,"",_xlfn.MINIFS('Observed lines'!$G$2:$G$36,'Observed lines'!$F$2:$F$36,A217))</f>
        <v/>
      </c>
      <c r="F217" s="8" t="str">
        <f aca="false">IF(D217=0,"",_xlfn.MAXIFS('Observed lines'!$G$2:$G$36,'Observed lines'!$F$2:$F$36,A217))</f>
        <v/>
      </c>
      <c r="G217" s="5" t="str">
        <f aca="false">IF(D217=0,"none seen",IF(E217=F217,TEXT(E217,"$#,##0.00"),TEXT(E217,"$#,##0.00")&amp;" – "&amp;TEXT(F217,"$#,##0.00")))</f>
        <v>none seen</v>
      </c>
      <c r="H217" s="5" t="s">
        <v>1610</v>
      </c>
      <c r="I217" s="5" t="s">
        <v>776</v>
      </c>
    </row>
    <row r="218" customFormat="false" ht="15" hidden="false" customHeight="false" outlineLevel="0" collapsed="false">
      <c r="A218" s="5" t="s">
        <v>1305</v>
      </c>
      <c r="B218" s="5"/>
      <c r="C218" s="5" t="n">
        <f aca="false">COUNTIF('Observed lines'!$F$2:$F$36,A218)</f>
        <v>0</v>
      </c>
      <c r="D218" s="5" t="n">
        <f aca="false">COUNTIFS('Observed lines'!$F$2:$F$36,A218,'Observed lines'!$G$2:$G$36,"&lt;&gt;")</f>
        <v>0</v>
      </c>
      <c r="E218" s="8" t="str">
        <f aca="false">IF(D218=0,"",_xlfn.MINIFS('Observed lines'!$G$2:$G$36,'Observed lines'!$F$2:$F$36,A218))</f>
        <v/>
      </c>
      <c r="F218" s="8" t="str">
        <f aca="false">IF(D218=0,"",_xlfn.MAXIFS('Observed lines'!$G$2:$G$36,'Observed lines'!$F$2:$F$36,A218))</f>
        <v/>
      </c>
      <c r="G218" s="5" t="str">
        <f aca="false">IF(D218=0,"none seen",IF(E218=F218,TEXT(E218,"$#,##0.00"),TEXT(E218,"$#,##0.00")&amp;" – "&amp;TEXT(F218,"$#,##0.00")))</f>
        <v>none seen</v>
      </c>
      <c r="H218" s="5" t="s">
        <v>1610</v>
      </c>
      <c r="I218" s="5" t="s">
        <v>776</v>
      </c>
    </row>
    <row r="219" customFormat="false" ht="15" hidden="false" customHeight="false" outlineLevel="0" collapsed="false">
      <c r="A219" s="5" t="s">
        <v>1306</v>
      </c>
      <c r="B219" s="5"/>
      <c r="C219" s="5" t="n">
        <f aca="false">COUNTIF('Observed lines'!$F$2:$F$36,A219)</f>
        <v>0</v>
      </c>
      <c r="D219" s="5" t="n">
        <f aca="false">COUNTIFS('Observed lines'!$F$2:$F$36,A219,'Observed lines'!$G$2:$G$36,"&lt;&gt;")</f>
        <v>0</v>
      </c>
      <c r="E219" s="8" t="str">
        <f aca="false">IF(D219=0,"",_xlfn.MINIFS('Observed lines'!$G$2:$G$36,'Observed lines'!$F$2:$F$36,A219))</f>
        <v/>
      </c>
      <c r="F219" s="8" t="str">
        <f aca="false">IF(D219=0,"",_xlfn.MAXIFS('Observed lines'!$G$2:$G$36,'Observed lines'!$F$2:$F$36,A219))</f>
        <v/>
      </c>
      <c r="G219" s="5" t="str">
        <f aca="false">IF(D219=0,"none seen",IF(E219=F219,TEXT(E219,"$#,##0.00"),TEXT(E219,"$#,##0.00")&amp;" – "&amp;TEXT(F219,"$#,##0.00")))</f>
        <v>none seen</v>
      </c>
      <c r="H219" s="5" t="s">
        <v>1610</v>
      </c>
      <c r="I219" s="5" t="s">
        <v>776</v>
      </c>
    </row>
    <row r="220" customFormat="false" ht="15" hidden="false" customHeight="false" outlineLevel="0" collapsed="false">
      <c r="A220" s="5" t="s">
        <v>1307</v>
      </c>
      <c r="B220" s="5"/>
      <c r="C220" s="5" t="n">
        <f aca="false">COUNTIF('Observed lines'!$F$2:$F$36,A220)</f>
        <v>0</v>
      </c>
      <c r="D220" s="5" t="n">
        <f aca="false">COUNTIFS('Observed lines'!$F$2:$F$36,A220,'Observed lines'!$G$2:$G$36,"&lt;&gt;")</f>
        <v>0</v>
      </c>
      <c r="E220" s="8" t="str">
        <f aca="false">IF(D220=0,"",_xlfn.MINIFS('Observed lines'!$G$2:$G$36,'Observed lines'!$F$2:$F$36,A220))</f>
        <v/>
      </c>
      <c r="F220" s="8" t="str">
        <f aca="false">IF(D220=0,"",_xlfn.MAXIFS('Observed lines'!$G$2:$G$36,'Observed lines'!$F$2:$F$36,A220))</f>
        <v/>
      </c>
      <c r="G220" s="5" t="str">
        <f aca="false">IF(D220=0,"none seen",IF(E220=F220,TEXT(E220,"$#,##0.00"),TEXT(E220,"$#,##0.00")&amp;" – "&amp;TEXT(F220,"$#,##0.00")))</f>
        <v>none seen</v>
      </c>
      <c r="H220" s="5" t="s">
        <v>1610</v>
      </c>
      <c r="I220" s="5" t="s">
        <v>776</v>
      </c>
    </row>
    <row r="221" customFormat="false" ht="15" hidden="false" customHeight="false" outlineLevel="0" collapsed="false">
      <c r="A221" s="5" t="s">
        <v>1308</v>
      </c>
      <c r="B221" s="5"/>
      <c r="C221" s="5" t="n">
        <f aca="false">COUNTIF('Observed lines'!$F$2:$F$36,A221)</f>
        <v>0</v>
      </c>
      <c r="D221" s="5" t="n">
        <f aca="false">COUNTIFS('Observed lines'!$F$2:$F$36,A221,'Observed lines'!$G$2:$G$36,"&lt;&gt;")</f>
        <v>0</v>
      </c>
      <c r="E221" s="8" t="str">
        <f aca="false">IF(D221=0,"",_xlfn.MINIFS('Observed lines'!$G$2:$G$36,'Observed lines'!$F$2:$F$36,A221))</f>
        <v/>
      </c>
      <c r="F221" s="8" t="str">
        <f aca="false">IF(D221=0,"",_xlfn.MAXIFS('Observed lines'!$G$2:$G$36,'Observed lines'!$F$2:$F$36,A221))</f>
        <v/>
      </c>
      <c r="G221" s="5" t="str">
        <f aca="false">IF(D221=0,"none seen",IF(E221=F221,TEXT(E221,"$#,##0.00"),TEXT(E221,"$#,##0.00")&amp;" – "&amp;TEXT(F221,"$#,##0.00")))</f>
        <v>none seen</v>
      </c>
      <c r="H221" s="5" t="s">
        <v>1610</v>
      </c>
      <c r="I221" s="5" t="s">
        <v>776</v>
      </c>
    </row>
    <row r="222" customFormat="false" ht="15" hidden="false" customHeight="false" outlineLevel="0" collapsed="false">
      <c r="A222" s="5" t="s">
        <v>1309</v>
      </c>
      <c r="B222" s="5"/>
      <c r="C222" s="5" t="n">
        <f aca="false">COUNTIF('Observed lines'!$F$2:$F$36,A222)</f>
        <v>0</v>
      </c>
      <c r="D222" s="5" t="n">
        <f aca="false">COUNTIFS('Observed lines'!$F$2:$F$36,A222,'Observed lines'!$G$2:$G$36,"&lt;&gt;")</f>
        <v>0</v>
      </c>
      <c r="E222" s="8" t="str">
        <f aca="false">IF(D222=0,"",_xlfn.MINIFS('Observed lines'!$G$2:$G$36,'Observed lines'!$F$2:$F$36,A222))</f>
        <v/>
      </c>
      <c r="F222" s="8" t="str">
        <f aca="false">IF(D222=0,"",_xlfn.MAXIFS('Observed lines'!$G$2:$G$36,'Observed lines'!$F$2:$F$36,A222))</f>
        <v/>
      </c>
      <c r="G222" s="5" t="str">
        <f aca="false">IF(D222=0,"none seen",IF(E222=F222,TEXT(E222,"$#,##0.00"),TEXT(E222,"$#,##0.00")&amp;" – "&amp;TEXT(F222,"$#,##0.00")))</f>
        <v>none seen</v>
      </c>
      <c r="H222" s="5" t="s">
        <v>1610</v>
      </c>
      <c r="I222" s="5" t="s">
        <v>776</v>
      </c>
    </row>
    <row r="223" customFormat="false" ht="15" hidden="false" customHeight="false" outlineLevel="0" collapsed="false">
      <c r="A223" s="5" t="s">
        <v>1310</v>
      </c>
      <c r="B223" s="5"/>
      <c r="C223" s="5" t="n">
        <f aca="false">COUNTIF('Observed lines'!$F$2:$F$36,A223)</f>
        <v>0</v>
      </c>
      <c r="D223" s="5" t="n">
        <f aca="false">COUNTIFS('Observed lines'!$F$2:$F$36,A223,'Observed lines'!$G$2:$G$36,"&lt;&gt;")</f>
        <v>0</v>
      </c>
      <c r="E223" s="8" t="str">
        <f aca="false">IF(D223=0,"",_xlfn.MINIFS('Observed lines'!$G$2:$G$36,'Observed lines'!$F$2:$F$36,A223))</f>
        <v/>
      </c>
      <c r="F223" s="8" t="str">
        <f aca="false">IF(D223=0,"",_xlfn.MAXIFS('Observed lines'!$G$2:$G$36,'Observed lines'!$F$2:$F$36,A223))</f>
        <v/>
      </c>
      <c r="G223" s="5" t="str">
        <f aca="false">IF(D223=0,"none seen",IF(E223=F223,TEXT(E223,"$#,##0.00"),TEXT(E223,"$#,##0.00")&amp;" – "&amp;TEXT(F223,"$#,##0.00")))</f>
        <v>none seen</v>
      </c>
      <c r="H223" s="5" t="s">
        <v>1610</v>
      </c>
      <c r="I223" s="5" t="s">
        <v>776</v>
      </c>
    </row>
    <row r="224" customFormat="false" ht="15" hidden="false" customHeight="false" outlineLevel="0" collapsed="false">
      <c r="A224" s="5" t="s">
        <v>1311</v>
      </c>
      <c r="B224" s="5"/>
      <c r="C224" s="5" t="n">
        <f aca="false">COUNTIF('Observed lines'!$F$2:$F$36,A224)</f>
        <v>0</v>
      </c>
      <c r="D224" s="5" t="n">
        <f aca="false">COUNTIFS('Observed lines'!$F$2:$F$36,A224,'Observed lines'!$G$2:$G$36,"&lt;&gt;")</f>
        <v>0</v>
      </c>
      <c r="E224" s="8" t="str">
        <f aca="false">IF(D224=0,"",_xlfn.MINIFS('Observed lines'!$G$2:$G$36,'Observed lines'!$F$2:$F$36,A224))</f>
        <v/>
      </c>
      <c r="F224" s="8" t="str">
        <f aca="false">IF(D224=0,"",_xlfn.MAXIFS('Observed lines'!$G$2:$G$36,'Observed lines'!$F$2:$F$36,A224))</f>
        <v/>
      </c>
      <c r="G224" s="5" t="str">
        <f aca="false">IF(D224=0,"none seen",IF(E224=F224,TEXT(E224,"$#,##0.00"),TEXT(E224,"$#,##0.00")&amp;" – "&amp;TEXT(F224,"$#,##0.00")))</f>
        <v>none seen</v>
      </c>
      <c r="H224" s="5" t="s">
        <v>1610</v>
      </c>
      <c r="I224" s="5" t="s">
        <v>776</v>
      </c>
    </row>
    <row r="225" customFormat="false" ht="15" hidden="false" customHeight="false" outlineLevel="0" collapsed="false">
      <c r="A225" s="5" t="s">
        <v>1312</v>
      </c>
      <c r="B225" s="5"/>
      <c r="C225" s="5" t="n">
        <f aca="false">COUNTIF('Observed lines'!$F$2:$F$36,A225)</f>
        <v>0</v>
      </c>
      <c r="D225" s="5" t="n">
        <f aca="false">COUNTIFS('Observed lines'!$F$2:$F$36,A225,'Observed lines'!$G$2:$G$36,"&lt;&gt;")</f>
        <v>0</v>
      </c>
      <c r="E225" s="8" t="str">
        <f aca="false">IF(D225=0,"",_xlfn.MINIFS('Observed lines'!$G$2:$G$36,'Observed lines'!$F$2:$F$36,A225))</f>
        <v/>
      </c>
      <c r="F225" s="8" t="str">
        <f aca="false">IF(D225=0,"",_xlfn.MAXIFS('Observed lines'!$G$2:$G$36,'Observed lines'!$F$2:$F$36,A225))</f>
        <v/>
      </c>
      <c r="G225" s="5" t="str">
        <f aca="false">IF(D225=0,"none seen",IF(E225=F225,TEXT(E225,"$#,##0.00"),TEXT(E225,"$#,##0.00")&amp;" – "&amp;TEXT(F225,"$#,##0.00")))</f>
        <v>none seen</v>
      </c>
      <c r="H225" s="5" t="s">
        <v>1610</v>
      </c>
      <c r="I225" s="5" t="s">
        <v>776</v>
      </c>
    </row>
    <row r="226" customFormat="false" ht="15" hidden="false" customHeight="false" outlineLevel="0" collapsed="false">
      <c r="A226" s="5" t="s">
        <v>1313</v>
      </c>
      <c r="B226" s="5"/>
      <c r="C226" s="5" t="n">
        <f aca="false">COUNTIF('Observed lines'!$F$2:$F$36,A226)</f>
        <v>0</v>
      </c>
      <c r="D226" s="5" t="n">
        <f aca="false">COUNTIFS('Observed lines'!$F$2:$F$36,A226,'Observed lines'!$G$2:$G$36,"&lt;&gt;")</f>
        <v>0</v>
      </c>
      <c r="E226" s="8" t="str">
        <f aca="false">IF(D226=0,"",_xlfn.MINIFS('Observed lines'!$G$2:$G$36,'Observed lines'!$F$2:$F$36,A226))</f>
        <v/>
      </c>
      <c r="F226" s="8" t="str">
        <f aca="false">IF(D226=0,"",_xlfn.MAXIFS('Observed lines'!$G$2:$G$36,'Observed lines'!$F$2:$F$36,A226))</f>
        <v/>
      </c>
      <c r="G226" s="5" t="str">
        <f aca="false">IF(D226=0,"none seen",IF(E226=F226,TEXT(E226,"$#,##0.00"),TEXT(E226,"$#,##0.00")&amp;" – "&amp;TEXT(F226,"$#,##0.00")))</f>
        <v>none seen</v>
      </c>
      <c r="H226" s="5" t="s">
        <v>1610</v>
      </c>
      <c r="I226" s="5" t="s">
        <v>776</v>
      </c>
    </row>
    <row r="227" customFormat="false" ht="15" hidden="false" customHeight="false" outlineLevel="0" collapsed="false">
      <c r="A227" s="5" t="s">
        <v>1314</v>
      </c>
      <c r="B227" s="5"/>
      <c r="C227" s="5" t="n">
        <f aca="false">COUNTIF('Observed lines'!$F$2:$F$36,A227)</f>
        <v>0</v>
      </c>
      <c r="D227" s="5" t="n">
        <f aca="false">COUNTIFS('Observed lines'!$F$2:$F$36,A227,'Observed lines'!$G$2:$G$36,"&lt;&gt;")</f>
        <v>0</v>
      </c>
      <c r="E227" s="8" t="str">
        <f aca="false">IF(D227=0,"",_xlfn.MINIFS('Observed lines'!$G$2:$G$36,'Observed lines'!$F$2:$F$36,A227))</f>
        <v/>
      </c>
      <c r="F227" s="8" t="str">
        <f aca="false">IF(D227=0,"",_xlfn.MAXIFS('Observed lines'!$G$2:$G$36,'Observed lines'!$F$2:$F$36,A227))</f>
        <v/>
      </c>
      <c r="G227" s="5" t="str">
        <f aca="false">IF(D227=0,"none seen",IF(E227=F227,TEXT(E227,"$#,##0.00"),TEXT(E227,"$#,##0.00")&amp;" – "&amp;TEXT(F227,"$#,##0.00")))</f>
        <v>none seen</v>
      </c>
      <c r="H227" s="5" t="s">
        <v>1610</v>
      </c>
      <c r="I227" s="5" t="s">
        <v>776</v>
      </c>
    </row>
    <row r="228" customFormat="false" ht="15" hidden="false" customHeight="false" outlineLevel="0" collapsed="false">
      <c r="A228" s="5" t="s">
        <v>1315</v>
      </c>
      <c r="B228" s="5"/>
      <c r="C228" s="5" t="n">
        <f aca="false">COUNTIF('Observed lines'!$F$2:$F$36,A228)</f>
        <v>0</v>
      </c>
      <c r="D228" s="5" t="n">
        <f aca="false">COUNTIFS('Observed lines'!$F$2:$F$36,A228,'Observed lines'!$G$2:$G$36,"&lt;&gt;")</f>
        <v>0</v>
      </c>
      <c r="E228" s="8" t="str">
        <f aca="false">IF(D228=0,"",_xlfn.MINIFS('Observed lines'!$G$2:$G$36,'Observed lines'!$F$2:$F$36,A228))</f>
        <v/>
      </c>
      <c r="F228" s="8" t="str">
        <f aca="false">IF(D228=0,"",_xlfn.MAXIFS('Observed lines'!$G$2:$G$36,'Observed lines'!$F$2:$F$36,A228))</f>
        <v/>
      </c>
      <c r="G228" s="5" t="str">
        <f aca="false">IF(D228=0,"none seen",IF(E228=F228,TEXT(E228,"$#,##0.00"),TEXT(E228,"$#,##0.00")&amp;" – "&amp;TEXT(F228,"$#,##0.00")))</f>
        <v>none seen</v>
      </c>
      <c r="H228" s="5" t="s">
        <v>1610</v>
      </c>
      <c r="I228" s="5" t="s">
        <v>776</v>
      </c>
    </row>
    <row r="229" customFormat="false" ht="15" hidden="false" customHeight="false" outlineLevel="0" collapsed="false">
      <c r="A229" s="5" t="s">
        <v>1316</v>
      </c>
      <c r="B229" s="5"/>
      <c r="C229" s="5" t="n">
        <f aca="false">COUNTIF('Observed lines'!$F$2:$F$36,A229)</f>
        <v>0</v>
      </c>
      <c r="D229" s="5" t="n">
        <f aca="false">COUNTIFS('Observed lines'!$F$2:$F$36,A229,'Observed lines'!$G$2:$G$36,"&lt;&gt;")</f>
        <v>0</v>
      </c>
      <c r="E229" s="8" t="str">
        <f aca="false">IF(D229=0,"",_xlfn.MINIFS('Observed lines'!$G$2:$G$36,'Observed lines'!$F$2:$F$36,A229))</f>
        <v/>
      </c>
      <c r="F229" s="8" t="str">
        <f aca="false">IF(D229=0,"",_xlfn.MAXIFS('Observed lines'!$G$2:$G$36,'Observed lines'!$F$2:$F$36,A229))</f>
        <v/>
      </c>
      <c r="G229" s="5" t="str">
        <f aca="false">IF(D229=0,"none seen",IF(E229=F229,TEXT(E229,"$#,##0.00"),TEXT(E229,"$#,##0.00")&amp;" – "&amp;TEXT(F229,"$#,##0.00")))</f>
        <v>none seen</v>
      </c>
      <c r="H229" s="5" t="s">
        <v>1610</v>
      </c>
      <c r="I229" s="5" t="s">
        <v>776</v>
      </c>
    </row>
    <row r="230" customFormat="false" ht="15" hidden="false" customHeight="false" outlineLevel="0" collapsed="false">
      <c r="A230" s="5" t="s">
        <v>1317</v>
      </c>
      <c r="B230" s="5"/>
      <c r="C230" s="5" t="n">
        <f aca="false">COUNTIF('Observed lines'!$F$2:$F$36,A230)</f>
        <v>0</v>
      </c>
      <c r="D230" s="5" t="n">
        <f aca="false">COUNTIFS('Observed lines'!$F$2:$F$36,A230,'Observed lines'!$G$2:$G$36,"&lt;&gt;")</f>
        <v>0</v>
      </c>
      <c r="E230" s="8" t="str">
        <f aca="false">IF(D230=0,"",_xlfn.MINIFS('Observed lines'!$G$2:$G$36,'Observed lines'!$F$2:$F$36,A230))</f>
        <v/>
      </c>
      <c r="F230" s="8" t="str">
        <f aca="false">IF(D230=0,"",_xlfn.MAXIFS('Observed lines'!$G$2:$G$36,'Observed lines'!$F$2:$F$36,A230))</f>
        <v/>
      </c>
      <c r="G230" s="5" t="str">
        <f aca="false">IF(D230=0,"none seen",IF(E230=F230,TEXT(E230,"$#,##0.00"),TEXT(E230,"$#,##0.00")&amp;" – "&amp;TEXT(F230,"$#,##0.00")))</f>
        <v>none seen</v>
      </c>
      <c r="H230" s="5" t="s">
        <v>1610</v>
      </c>
      <c r="I230" s="5" t="s">
        <v>776</v>
      </c>
    </row>
    <row r="231" customFormat="false" ht="15" hidden="false" customHeight="false" outlineLevel="0" collapsed="false">
      <c r="A231" s="5" t="s">
        <v>1318</v>
      </c>
      <c r="B231" s="5"/>
      <c r="C231" s="5" t="n">
        <f aca="false">COUNTIF('Observed lines'!$F$2:$F$36,A231)</f>
        <v>0</v>
      </c>
      <c r="D231" s="5" t="n">
        <f aca="false">COUNTIFS('Observed lines'!$F$2:$F$36,A231,'Observed lines'!$G$2:$G$36,"&lt;&gt;")</f>
        <v>0</v>
      </c>
      <c r="E231" s="8" t="str">
        <f aca="false">IF(D231=0,"",_xlfn.MINIFS('Observed lines'!$G$2:$G$36,'Observed lines'!$F$2:$F$36,A231))</f>
        <v/>
      </c>
      <c r="F231" s="8" t="str">
        <f aca="false">IF(D231=0,"",_xlfn.MAXIFS('Observed lines'!$G$2:$G$36,'Observed lines'!$F$2:$F$36,A231))</f>
        <v/>
      </c>
      <c r="G231" s="5" t="str">
        <f aca="false">IF(D231=0,"none seen",IF(E231=F231,TEXT(E231,"$#,##0.00"),TEXT(E231,"$#,##0.00")&amp;" – "&amp;TEXT(F231,"$#,##0.00")))</f>
        <v>none seen</v>
      </c>
      <c r="H231" s="5" t="s">
        <v>1610</v>
      </c>
      <c r="I231" s="5" t="s">
        <v>776</v>
      </c>
    </row>
    <row r="232" customFormat="false" ht="15" hidden="false" customHeight="false" outlineLevel="0" collapsed="false">
      <c r="A232" s="5" t="s">
        <v>1319</v>
      </c>
      <c r="B232" s="5"/>
      <c r="C232" s="5" t="n">
        <f aca="false">COUNTIF('Observed lines'!$F$2:$F$36,A232)</f>
        <v>0</v>
      </c>
      <c r="D232" s="5" t="n">
        <f aca="false">COUNTIFS('Observed lines'!$F$2:$F$36,A232,'Observed lines'!$G$2:$G$36,"&lt;&gt;")</f>
        <v>0</v>
      </c>
      <c r="E232" s="8" t="str">
        <f aca="false">IF(D232=0,"",_xlfn.MINIFS('Observed lines'!$G$2:$G$36,'Observed lines'!$F$2:$F$36,A232))</f>
        <v/>
      </c>
      <c r="F232" s="8" t="str">
        <f aca="false">IF(D232=0,"",_xlfn.MAXIFS('Observed lines'!$G$2:$G$36,'Observed lines'!$F$2:$F$36,A232))</f>
        <v/>
      </c>
      <c r="G232" s="5" t="str">
        <f aca="false">IF(D232=0,"none seen",IF(E232=F232,TEXT(E232,"$#,##0.00"),TEXT(E232,"$#,##0.00")&amp;" – "&amp;TEXT(F232,"$#,##0.00")))</f>
        <v>none seen</v>
      </c>
      <c r="H232" s="5" t="s">
        <v>1610</v>
      </c>
      <c r="I232" s="5" t="s">
        <v>776</v>
      </c>
    </row>
    <row r="233" customFormat="false" ht="15" hidden="false" customHeight="false" outlineLevel="0" collapsed="false">
      <c r="A233" s="5" t="s">
        <v>1320</v>
      </c>
      <c r="B233" s="5"/>
      <c r="C233" s="5" t="n">
        <f aca="false">COUNTIF('Observed lines'!$F$2:$F$36,A233)</f>
        <v>0</v>
      </c>
      <c r="D233" s="5" t="n">
        <f aca="false">COUNTIFS('Observed lines'!$F$2:$F$36,A233,'Observed lines'!$G$2:$G$36,"&lt;&gt;")</f>
        <v>0</v>
      </c>
      <c r="E233" s="8" t="str">
        <f aca="false">IF(D233=0,"",_xlfn.MINIFS('Observed lines'!$G$2:$G$36,'Observed lines'!$F$2:$F$36,A233))</f>
        <v/>
      </c>
      <c r="F233" s="8" t="str">
        <f aca="false">IF(D233=0,"",_xlfn.MAXIFS('Observed lines'!$G$2:$G$36,'Observed lines'!$F$2:$F$36,A233))</f>
        <v/>
      </c>
      <c r="G233" s="5" t="str">
        <f aca="false">IF(D233=0,"none seen",IF(E233=F233,TEXT(E233,"$#,##0.00"),TEXT(E233,"$#,##0.00")&amp;" – "&amp;TEXT(F233,"$#,##0.00")))</f>
        <v>none seen</v>
      </c>
      <c r="H233" s="5" t="s">
        <v>1610</v>
      </c>
      <c r="I233" s="5" t="s">
        <v>776</v>
      </c>
    </row>
    <row r="234" customFormat="false" ht="15" hidden="false" customHeight="false" outlineLevel="0" collapsed="false">
      <c r="A234" s="5" t="s">
        <v>1321</v>
      </c>
      <c r="B234" s="5"/>
      <c r="C234" s="5" t="n">
        <f aca="false">COUNTIF('Observed lines'!$F$2:$F$36,A234)</f>
        <v>0</v>
      </c>
      <c r="D234" s="5" t="n">
        <f aca="false">COUNTIFS('Observed lines'!$F$2:$F$36,A234,'Observed lines'!$G$2:$G$36,"&lt;&gt;")</f>
        <v>0</v>
      </c>
      <c r="E234" s="8" t="str">
        <f aca="false">IF(D234=0,"",_xlfn.MINIFS('Observed lines'!$G$2:$G$36,'Observed lines'!$F$2:$F$36,A234))</f>
        <v/>
      </c>
      <c r="F234" s="8" t="str">
        <f aca="false">IF(D234=0,"",_xlfn.MAXIFS('Observed lines'!$G$2:$G$36,'Observed lines'!$F$2:$F$36,A234))</f>
        <v/>
      </c>
      <c r="G234" s="5" t="str">
        <f aca="false">IF(D234=0,"none seen",IF(E234=F234,TEXT(E234,"$#,##0.00"),TEXT(E234,"$#,##0.00")&amp;" – "&amp;TEXT(F234,"$#,##0.00")))</f>
        <v>none seen</v>
      </c>
      <c r="H234" s="5" t="s">
        <v>1610</v>
      </c>
      <c r="I234" s="5" t="s">
        <v>776</v>
      </c>
    </row>
    <row r="235" customFormat="false" ht="15" hidden="false" customHeight="false" outlineLevel="0" collapsed="false">
      <c r="A235" s="5" t="s">
        <v>1322</v>
      </c>
      <c r="B235" s="5"/>
      <c r="C235" s="5" t="n">
        <f aca="false">COUNTIF('Observed lines'!$F$2:$F$36,A235)</f>
        <v>0</v>
      </c>
      <c r="D235" s="5" t="n">
        <f aca="false">COUNTIFS('Observed lines'!$F$2:$F$36,A235,'Observed lines'!$G$2:$G$36,"&lt;&gt;")</f>
        <v>0</v>
      </c>
      <c r="E235" s="8" t="str">
        <f aca="false">IF(D235=0,"",_xlfn.MINIFS('Observed lines'!$G$2:$G$36,'Observed lines'!$F$2:$F$36,A235))</f>
        <v/>
      </c>
      <c r="F235" s="8" t="str">
        <f aca="false">IF(D235=0,"",_xlfn.MAXIFS('Observed lines'!$G$2:$G$36,'Observed lines'!$F$2:$F$36,A235))</f>
        <v/>
      </c>
      <c r="G235" s="5" t="str">
        <f aca="false">IF(D235=0,"none seen",IF(E235=F235,TEXT(E235,"$#,##0.00"),TEXT(E235,"$#,##0.00")&amp;" – "&amp;TEXT(F235,"$#,##0.00")))</f>
        <v>none seen</v>
      </c>
      <c r="H235" s="5" t="s">
        <v>1610</v>
      </c>
      <c r="I235" s="5" t="s">
        <v>776</v>
      </c>
    </row>
    <row r="236" customFormat="false" ht="15" hidden="false" customHeight="false" outlineLevel="0" collapsed="false">
      <c r="A236" s="5" t="s">
        <v>1323</v>
      </c>
      <c r="B236" s="5"/>
      <c r="C236" s="5" t="n">
        <f aca="false">COUNTIF('Observed lines'!$F$2:$F$36,A236)</f>
        <v>0</v>
      </c>
      <c r="D236" s="5" t="n">
        <f aca="false">COUNTIFS('Observed lines'!$F$2:$F$36,A236,'Observed lines'!$G$2:$G$36,"&lt;&gt;")</f>
        <v>0</v>
      </c>
      <c r="E236" s="8" t="str">
        <f aca="false">IF(D236=0,"",_xlfn.MINIFS('Observed lines'!$G$2:$G$36,'Observed lines'!$F$2:$F$36,A236))</f>
        <v/>
      </c>
      <c r="F236" s="8" t="str">
        <f aca="false">IF(D236=0,"",_xlfn.MAXIFS('Observed lines'!$G$2:$G$36,'Observed lines'!$F$2:$F$36,A236))</f>
        <v/>
      </c>
      <c r="G236" s="5" t="str">
        <f aca="false">IF(D236=0,"none seen",IF(E236=F236,TEXT(E236,"$#,##0.00"),TEXT(E236,"$#,##0.00")&amp;" – "&amp;TEXT(F236,"$#,##0.00")))</f>
        <v>none seen</v>
      </c>
      <c r="H236" s="5" t="s">
        <v>1610</v>
      </c>
      <c r="I236" s="5" t="s">
        <v>776</v>
      </c>
    </row>
    <row r="237" customFormat="false" ht="15" hidden="false" customHeight="false" outlineLevel="0" collapsed="false">
      <c r="A237" s="5" t="s">
        <v>1324</v>
      </c>
      <c r="B237" s="5"/>
      <c r="C237" s="5" t="n">
        <f aca="false">COUNTIF('Observed lines'!$F$2:$F$36,A237)</f>
        <v>0</v>
      </c>
      <c r="D237" s="5" t="n">
        <f aca="false">COUNTIFS('Observed lines'!$F$2:$F$36,A237,'Observed lines'!$G$2:$G$36,"&lt;&gt;")</f>
        <v>0</v>
      </c>
      <c r="E237" s="8" t="str">
        <f aca="false">IF(D237=0,"",_xlfn.MINIFS('Observed lines'!$G$2:$G$36,'Observed lines'!$F$2:$F$36,A237))</f>
        <v/>
      </c>
      <c r="F237" s="8" t="str">
        <f aca="false">IF(D237=0,"",_xlfn.MAXIFS('Observed lines'!$G$2:$G$36,'Observed lines'!$F$2:$F$36,A237))</f>
        <v/>
      </c>
      <c r="G237" s="5" t="str">
        <f aca="false">IF(D237=0,"none seen",IF(E237=F237,TEXT(E237,"$#,##0.00"),TEXT(E237,"$#,##0.00")&amp;" – "&amp;TEXT(F237,"$#,##0.00")))</f>
        <v>none seen</v>
      </c>
      <c r="H237" s="5" t="s">
        <v>1610</v>
      </c>
      <c r="I237" s="5" t="s">
        <v>776</v>
      </c>
    </row>
    <row r="238" customFormat="false" ht="15" hidden="false" customHeight="false" outlineLevel="0" collapsed="false">
      <c r="A238" s="5" t="s">
        <v>1325</v>
      </c>
      <c r="B238" s="5"/>
      <c r="C238" s="5" t="n">
        <f aca="false">COUNTIF('Observed lines'!$F$2:$F$36,A238)</f>
        <v>0</v>
      </c>
      <c r="D238" s="5" t="n">
        <f aca="false">COUNTIFS('Observed lines'!$F$2:$F$36,A238,'Observed lines'!$G$2:$G$36,"&lt;&gt;")</f>
        <v>0</v>
      </c>
      <c r="E238" s="8" t="str">
        <f aca="false">IF(D238=0,"",_xlfn.MINIFS('Observed lines'!$G$2:$G$36,'Observed lines'!$F$2:$F$36,A238))</f>
        <v/>
      </c>
      <c r="F238" s="8" t="str">
        <f aca="false">IF(D238=0,"",_xlfn.MAXIFS('Observed lines'!$G$2:$G$36,'Observed lines'!$F$2:$F$36,A238))</f>
        <v/>
      </c>
      <c r="G238" s="5" t="str">
        <f aca="false">IF(D238=0,"none seen",IF(E238=F238,TEXT(E238,"$#,##0.00"),TEXT(E238,"$#,##0.00")&amp;" – "&amp;TEXT(F238,"$#,##0.00")))</f>
        <v>none seen</v>
      </c>
      <c r="H238" s="5" t="s">
        <v>1610</v>
      </c>
      <c r="I238" s="5" t="s">
        <v>776</v>
      </c>
    </row>
    <row r="239" customFormat="false" ht="15" hidden="false" customHeight="false" outlineLevel="0" collapsed="false">
      <c r="A239" s="5" t="s">
        <v>1326</v>
      </c>
      <c r="B239" s="5"/>
      <c r="C239" s="5" t="n">
        <f aca="false">COUNTIF('Observed lines'!$F$2:$F$36,A239)</f>
        <v>0</v>
      </c>
      <c r="D239" s="5" t="n">
        <f aca="false">COUNTIFS('Observed lines'!$F$2:$F$36,A239,'Observed lines'!$G$2:$G$36,"&lt;&gt;")</f>
        <v>0</v>
      </c>
      <c r="E239" s="8" t="str">
        <f aca="false">IF(D239=0,"",_xlfn.MINIFS('Observed lines'!$G$2:$G$36,'Observed lines'!$F$2:$F$36,A239))</f>
        <v/>
      </c>
      <c r="F239" s="8" t="str">
        <f aca="false">IF(D239=0,"",_xlfn.MAXIFS('Observed lines'!$G$2:$G$36,'Observed lines'!$F$2:$F$36,A239))</f>
        <v/>
      </c>
      <c r="G239" s="5" t="str">
        <f aca="false">IF(D239=0,"none seen",IF(E239=F239,TEXT(E239,"$#,##0.00"),TEXT(E239,"$#,##0.00")&amp;" – "&amp;TEXT(F239,"$#,##0.00")))</f>
        <v>none seen</v>
      </c>
      <c r="H239" s="5" t="s">
        <v>1610</v>
      </c>
      <c r="I239" s="5" t="s">
        <v>776</v>
      </c>
    </row>
    <row r="240" customFormat="false" ht="15" hidden="false" customHeight="false" outlineLevel="0" collapsed="false">
      <c r="A240" s="5" t="s">
        <v>1327</v>
      </c>
      <c r="B240" s="5"/>
      <c r="C240" s="5" t="n">
        <f aca="false">COUNTIF('Observed lines'!$F$2:$F$36,A240)</f>
        <v>0</v>
      </c>
      <c r="D240" s="5" t="n">
        <f aca="false">COUNTIFS('Observed lines'!$F$2:$F$36,A240,'Observed lines'!$G$2:$G$36,"&lt;&gt;")</f>
        <v>0</v>
      </c>
      <c r="E240" s="8" t="str">
        <f aca="false">IF(D240=0,"",_xlfn.MINIFS('Observed lines'!$G$2:$G$36,'Observed lines'!$F$2:$F$36,A240))</f>
        <v/>
      </c>
      <c r="F240" s="8" t="str">
        <f aca="false">IF(D240=0,"",_xlfn.MAXIFS('Observed lines'!$G$2:$G$36,'Observed lines'!$F$2:$F$36,A240))</f>
        <v/>
      </c>
      <c r="G240" s="5" t="str">
        <f aca="false">IF(D240=0,"none seen",IF(E240=F240,TEXT(E240,"$#,##0.00"),TEXT(E240,"$#,##0.00")&amp;" – "&amp;TEXT(F240,"$#,##0.00")))</f>
        <v>none seen</v>
      </c>
      <c r="H240" s="5" t="s">
        <v>1610</v>
      </c>
      <c r="I240" s="5" t="s">
        <v>776</v>
      </c>
    </row>
    <row r="241" customFormat="false" ht="15" hidden="false" customHeight="false" outlineLevel="0" collapsed="false">
      <c r="A241" s="5" t="s">
        <v>1328</v>
      </c>
      <c r="B241" s="5"/>
      <c r="C241" s="5" t="n">
        <f aca="false">COUNTIF('Observed lines'!$F$2:$F$36,A241)</f>
        <v>0</v>
      </c>
      <c r="D241" s="5" t="n">
        <f aca="false">COUNTIFS('Observed lines'!$F$2:$F$36,A241,'Observed lines'!$G$2:$G$36,"&lt;&gt;")</f>
        <v>0</v>
      </c>
      <c r="E241" s="8" t="str">
        <f aca="false">IF(D241=0,"",_xlfn.MINIFS('Observed lines'!$G$2:$G$36,'Observed lines'!$F$2:$F$36,A241))</f>
        <v/>
      </c>
      <c r="F241" s="8" t="str">
        <f aca="false">IF(D241=0,"",_xlfn.MAXIFS('Observed lines'!$G$2:$G$36,'Observed lines'!$F$2:$F$36,A241))</f>
        <v/>
      </c>
      <c r="G241" s="5" t="str">
        <f aca="false">IF(D241=0,"none seen",IF(E241=F241,TEXT(E241,"$#,##0.00"),TEXT(E241,"$#,##0.00")&amp;" – "&amp;TEXT(F241,"$#,##0.00")))</f>
        <v>none seen</v>
      </c>
      <c r="H241" s="5" t="s">
        <v>1610</v>
      </c>
      <c r="I241" s="5" t="s">
        <v>776</v>
      </c>
    </row>
    <row r="242" customFormat="false" ht="15" hidden="false" customHeight="false" outlineLevel="0" collapsed="false">
      <c r="A242" s="5" t="s">
        <v>1329</v>
      </c>
      <c r="B242" s="5"/>
      <c r="C242" s="5" t="n">
        <f aca="false">COUNTIF('Observed lines'!$F$2:$F$36,A242)</f>
        <v>0</v>
      </c>
      <c r="D242" s="5" t="n">
        <f aca="false">COUNTIFS('Observed lines'!$F$2:$F$36,A242,'Observed lines'!$G$2:$G$36,"&lt;&gt;")</f>
        <v>0</v>
      </c>
      <c r="E242" s="8" t="str">
        <f aca="false">IF(D242=0,"",_xlfn.MINIFS('Observed lines'!$G$2:$G$36,'Observed lines'!$F$2:$F$36,A242))</f>
        <v/>
      </c>
      <c r="F242" s="8" t="str">
        <f aca="false">IF(D242=0,"",_xlfn.MAXIFS('Observed lines'!$G$2:$G$36,'Observed lines'!$F$2:$F$36,A242))</f>
        <v/>
      </c>
      <c r="G242" s="5" t="str">
        <f aca="false">IF(D242=0,"none seen",IF(E242=F242,TEXT(E242,"$#,##0.00"),TEXT(E242,"$#,##0.00")&amp;" – "&amp;TEXT(F242,"$#,##0.00")))</f>
        <v>none seen</v>
      </c>
      <c r="H242" s="5" t="s">
        <v>1610</v>
      </c>
      <c r="I242" s="5" t="s">
        <v>776</v>
      </c>
    </row>
    <row r="243" customFormat="false" ht="15" hidden="false" customHeight="false" outlineLevel="0" collapsed="false">
      <c r="A243" s="5" t="s">
        <v>1330</v>
      </c>
      <c r="B243" s="5"/>
      <c r="C243" s="5" t="n">
        <f aca="false">COUNTIF('Observed lines'!$F$2:$F$36,A243)</f>
        <v>0</v>
      </c>
      <c r="D243" s="5" t="n">
        <f aca="false">COUNTIFS('Observed lines'!$F$2:$F$36,A243,'Observed lines'!$G$2:$G$36,"&lt;&gt;")</f>
        <v>0</v>
      </c>
      <c r="E243" s="8" t="str">
        <f aca="false">IF(D243=0,"",_xlfn.MINIFS('Observed lines'!$G$2:$G$36,'Observed lines'!$F$2:$F$36,A243))</f>
        <v/>
      </c>
      <c r="F243" s="8" t="str">
        <f aca="false">IF(D243=0,"",_xlfn.MAXIFS('Observed lines'!$G$2:$G$36,'Observed lines'!$F$2:$F$36,A243))</f>
        <v/>
      </c>
      <c r="G243" s="5" t="str">
        <f aca="false">IF(D243=0,"none seen",IF(E243=F243,TEXT(E243,"$#,##0.00"),TEXT(E243,"$#,##0.00")&amp;" – "&amp;TEXT(F243,"$#,##0.00")))</f>
        <v>none seen</v>
      </c>
      <c r="H243" s="5" t="s">
        <v>1610</v>
      </c>
      <c r="I243" s="5" t="s">
        <v>776</v>
      </c>
    </row>
    <row r="244" customFormat="false" ht="15" hidden="false" customHeight="false" outlineLevel="0" collapsed="false">
      <c r="A244" s="5" t="s">
        <v>1331</v>
      </c>
      <c r="B244" s="5"/>
      <c r="C244" s="5" t="n">
        <f aca="false">COUNTIF('Observed lines'!$F$2:$F$36,A244)</f>
        <v>0</v>
      </c>
      <c r="D244" s="5" t="n">
        <f aca="false">COUNTIFS('Observed lines'!$F$2:$F$36,A244,'Observed lines'!$G$2:$G$36,"&lt;&gt;")</f>
        <v>0</v>
      </c>
      <c r="E244" s="8" t="str">
        <f aca="false">IF(D244=0,"",_xlfn.MINIFS('Observed lines'!$G$2:$G$36,'Observed lines'!$F$2:$F$36,A244))</f>
        <v/>
      </c>
      <c r="F244" s="8" t="str">
        <f aca="false">IF(D244=0,"",_xlfn.MAXIFS('Observed lines'!$G$2:$G$36,'Observed lines'!$F$2:$F$36,A244))</f>
        <v/>
      </c>
      <c r="G244" s="5" t="str">
        <f aca="false">IF(D244=0,"none seen",IF(E244=F244,TEXT(E244,"$#,##0.00"),TEXT(E244,"$#,##0.00")&amp;" – "&amp;TEXT(F244,"$#,##0.00")))</f>
        <v>none seen</v>
      </c>
      <c r="H244" s="5" t="s">
        <v>1610</v>
      </c>
      <c r="I244" s="5" t="s">
        <v>776</v>
      </c>
    </row>
    <row r="245" customFormat="false" ht="15" hidden="false" customHeight="false" outlineLevel="0" collapsed="false">
      <c r="A245" s="5" t="s">
        <v>1332</v>
      </c>
      <c r="B245" s="5"/>
      <c r="C245" s="5" t="n">
        <f aca="false">COUNTIF('Observed lines'!$F$2:$F$36,A245)</f>
        <v>0</v>
      </c>
      <c r="D245" s="5" t="n">
        <f aca="false">COUNTIFS('Observed lines'!$F$2:$F$36,A245,'Observed lines'!$G$2:$G$36,"&lt;&gt;")</f>
        <v>0</v>
      </c>
      <c r="E245" s="8" t="str">
        <f aca="false">IF(D245=0,"",_xlfn.MINIFS('Observed lines'!$G$2:$G$36,'Observed lines'!$F$2:$F$36,A245))</f>
        <v/>
      </c>
      <c r="F245" s="8" t="str">
        <f aca="false">IF(D245=0,"",_xlfn.MAXIFS('Observed lines'!$G$2:$G$36,'Observed lines'!$F$2:$F$36,A245))</f>
        <v/>
      </c>
      <c r="G245" s="5" t="str">
        <f aca="false">IF(D245=0,"none seen",IF(E245=F245,TEXT(E245,"$#,##0.00"),TEXT(E245,"$#,##0.00")&amp;" – "&amp;TEXT(F245,"$#,##0.00")))</f>
        <v>none seen</v>
      </c>
      <c r="H245" s="5" t="s">
        <v>1610</v>
      </c>
      <c r="I245" s="5" t="s">
        <v>776</v>
      </c>
    </row>
    <row r="246" customFormat="false" ht="15" hidden="false" customHeight="false" outlineLevel="0" collapsed="false">
      <c r="A246" s="5" t="s">
        <v>1333</v>
      </c>
      <c r="B246" s="5"/>
      <c r="C246" s="5" t="n">
        <f aca="false">COUNTIF('Observed lines'!$F$2:$F$36,A246)</f>
        <v>0</v>
      </c>
      <c r="D246" s="5" t="n">
        <f aca="false">COUNTIFS('Observed lines'!$F$2:$F$36,A246,'Observed lines'!$G$2:$G$36,"&lt;&gt;")</f>
        <v>0</v>
      </c>
      <c r="E246" s="8" t="str">
        <f aca="false">IF(D246=0,"",_xlfn.MINIFS('Observed lines'!$G$2:$G$36,'Observed lines'!$F$2:$F$36,A246))</f>
        <v/>
      </c>
      <c r="F246" s="8" t="str">
        <f aca="false">IF(D246=0,"",_xlfn.MAXIFS('Observed lines'!$G$2:$G$36,'Observed lines'!$F$2:$F$36,A246))</f>
        <v/>
      </c>
      <c r="G246" s="5" t="str">
        <f aca="false">IF(D246=0,"none seen",IF(E246=F246,TEXT(E246,"$#,##0.00"),TEXT(E246,"$#,##0.00")&amp;" – "&amp;TEXT(F246,"$#,##0.00")))</f>
        <v>none seen</v>
      </c>
      <c r="H246" s="5" t="s">
        <v>1610</v>
      </c>
      <c r="I246" s="5" t="s">
        <v>776</v>
      </c>
    </row>
    <row r="247" customFormat="false" ht="15" hidden="false" customHeight="false" outlineLevel="0" collapsed="false">
      <c r="A247" s="5" t="s">
        <v>1334</v>
      </c>
      <c r="B247" s="5"/>
      <c r="C247" s="5" t="n">
        <f aca="false">COUNTIF('Observed lines'!$F$2:$F$36,A247)</f>
        <v>0</v>
      </c>
      <c r="D247" s="5" t="n">
        <f aca="false">COUNTIFS('Observed lines'!$F$2:$F$36,A247,'Observed lines'!$G$2:$G$36,"&lt;&gt;")</f>
        <v>0</v>
      </c>
      <c r="E247" s="8" t="str">
        <f aca="false">IF(D247=0,"",_xlfn.MINIFS('Observed lines'!$G$2:$G$36,'Observed lines'!$F$2:$F$36,A247))</f>
        <v/>
      </c>
      <c r="F247" s="8" t="str">
        <f aca="false">IF(D247=0,"",_xlfn.MAXIFS('Observed lines'!$G$2:$G$36,'Observed lines'!$F$2:$F$36,A247))</f>
        <v/>
      </c>
      <c r="G247" s="5" t="str">
        <f aca="false">IF(D247=0,"none seen",IF(E247=F247,TEXT(E247,"$#,##0.00"),TEXT(E247,"$#,##0.00")&amp;" – "&amp;TEXT(F247,"$#,##0.00")))</f>
        <v>none seen</v>
      </c>
      <c r="H247" s="5" t="s">
        <v>1610</v>
      </c>
      <c r="I247" s="5" t="s">
        <v>776</v>
      </c>
    </row>
    <row r="248" customFormat="false" ht="15" hidden="false" customHeight="false" outlineLevel="0" collapsed="false">
      <c r="A248" s="5" t="s">
        <v>1335</v>
      </c>
      <c r="B248" s="5"/>
      <c r="C248" s="5" t="n">
        <f aca="false">COUNTIF('Observed lines'!$F$2:$F$36,A248)</f>
        <v>0</v>
      </c>
      <c r="D248" s="5" t="n">
        <f aca="false">COUNTIFS('Observed lines'!$F$2:$F$36,A248,'Observed lines'!$G$2:$G$36,"&lt;&gt;")</f>
        <v>0</v>
      </c>
      <c r="E248" s="8" t="str">
        <f aca="false">IF(D248=0,"",_xlfn.MINIFS('Observed lines'!$G$2:$G$36,'Observed lines'!$F$2:$F$36,A248))</f>
        <v/>
      </c>
      <c r="F248" s="8" t="str">
        <f aca="false">IF(D248=0,"",_xlfn.MAXIFS('Observed lines'!$G$2:$G$36,'Observed lines'!$F$2:$F$36,A248))</f>
        <v/>
      </c>
      <c r="G248" s="5" t="str">
        <f aca="false">IF(D248=0,"none seen",IF(E248=F248,TEXT(E248,"$#,##0.00"),TEXT(E248,"$#,##0.00")&amp;" – "&amp;TEXT(F248,"$#,##0.00")))</f>
        <v>none seen</v>
      </c>
      <c r="H248" s="5" t="s">
        <v>1610</v>
      </c>
      <c r="I248" s="5" t="s">
        <v>776</v>
      </c>
    </row>
    <row r="249" customFormat="false" ht="15" hidden="false" customHeight="false" outlineLevel="0" collapsed="false">
      <c r="A249" s="5" t="s">
        <v>1336</v>
      </c>
      <c r="B249" s="5"/>
      <c r="C249" s="5" t="n">
        <f aca="false">COUNTIF('Observed lines'!$F$2:$F$36,A249)</f>
        <v>0</v>
      </c>
      <c r="D249" s="5" t="n">
        <f aca="false">COUNTIFS('Observed lines'!$F$2:$F$36,A249,'Observed lines'!$G$2:$G$36,"&lt;&gt;")</f>
        <v>0</v>
      </c>
      <c r="E249" s="8" t="str">
        <f aca="false">IF(D249=0,"",_xlfn.MINIFS('Observed lines'!$G$2:$G$36,'Observed lines'!$F$2:$F$36,A249))</f>
        <v/>
      </c>
      <c r="F249" s="8" t="str">
        <f aca="false">IF(D249=0,"",_xlfn.MAXIFS('Observed lines'!$G$2:$G$36,'Observed lines'!$F$2:$F$36,A249))</f>
        <v/>
      </c>
      <c r="G249" s="5" t="str">
        <f aca="false">IF(D249=0,"none seen",IF(E249=F249,TEXT(E249,"$#,##0.00"),TEXT(E249,"$#,##0.00")&amp;" – "&amp;TEXT(F249,"$#,##0.00")))</f>
        <v>none seen</v>
      </c>
      <c r="H249" s="5" t="s">
        <v>1610</v>
      </c>
      <c r="I249" s="5" t="s">
        <v>776</v>
      </c>
    </row>
    <row r="250" customFormat="false" ht="15" hidden="false" customHeight="false" outlineLevel="0" collapsed="false">
      <c r="A250" s="5" t="s">
        <v>1337</v>
      </c>
      <c r="B250" s="5"/>
      <c r="C250" s="5" t="n">
        <f aca="false">COUNTIF('Observed lines'!$F$2:$F$36,A250)</f>
        <v>0</v>
      </c>
      <c r="D250" s="5" t="n">
        <f aca="false">COUNTIFS('Observed lines'!$F$2:$F$36,A250,'Observed lines'!$G$2:$G$36,"&lt;&gt;")</f>
        <v>0</v>
      </c>
      <c r="E250" s="8" t="str">
        <f aca="false">IF(D250=0,"",_xlfn.MINIFS('Observed lines'!$G$2:$G$36,'Observed lines'!$F$2:$F$36,A250))</f>
        <v/>
      </c>
      <c r="F250" s="8" t="str">
        <f aca="false">IF(D250=0,"",_xlfn.MAXIFS('Observed lines'!$G$2:$G$36,'Observed lines'!$F$2:$F$36,A250))</f>
        <v/>
      </c>
      <c r="G250" s="5" t="str">
        <f aca="false">IF(D250=0,"none seen",IF(E250=F250,TEXT(E250,"$#,##0.00"),TEXT(E250,"$#,##0.00")&amp;" – "&amp;TEXT(F250,"$#,##0.00")))</f>
        <v>none seen</v>
      </c>
      <c r="H250" s="5" t="s">
        <v>1610</v>
      </c>
      <c r="I250" s="5" t="s">
        <v>776</v>
      </c>
    </row>
    <row r="251" customFormat="false" ht="15" hidden="false" customHeight="false" outlineLevel="0" collapsed="false">
      <c r="A251" s="5" t="s">
        <v>1338</v>
      </c>
      <c r="B251" s="5"/>
      <c r="C251" s="5" t="n">
        <f aca="false">COUNTIF('Observed lines'!$F$2:$F$36,A251)</f>
        <v>0</v>
      </c>
      <c r="D251" s="5" t="n">
        <f aca="false">COUNTIFS('Observed lines'!$F$2:$F$36,A251,'Observed lines'!$G$2:$G$36,"&lt;&gt;")</f>
        <v>0</v>
      </c>
      <c r="E251" s="8" t="str">
        <f aca="false">IF(D251=0,"",_xlfn.MINIFS('Observed lines'!$G$2:$G$36,'Observed lines'!$F$2:$F$36,A251))</f>
        <v/>
      </c>
      <c r="F251" s="8" t="str">
        <f aca="false">IF(D251=0,"",_xlfn.MAXIFS('Observed lines'!$G$2:$G$36,'Observed lines'!$F$2:$F$36,A251))</f>
        <v/>
      </c>
      <c r="G251" s="5" t="str">
        <f aca="false">IF(D251=0,"none seen",IF(E251=F251,TEXT(E251,"$#,##0.00"),TEXT(E251,"$#,##0.00")&amp;" – "&amp;TEXT(F251,"$#,##0.00")))</f>
        <v>none seen</v>
      </c>
      <c r="H251" s="5" t="s">
        <v>1610</v>
      </c>
      <c r="I251" s="5" t="s">
        <v>776</v>
      </c>
    </row>
    <row r="252" customFormat="false" ht="15" hidden="false" customHeight="false" outlineLevel="0" collapsed="false">
      <c r="A252" s="5" t="s">
        <v>1339</v>
      </c>
      <c r="B252" s="5"/>
      <c r="C252" s="5" t="n">
        <f aca="false">COUNTIF('Observed lines'!$F$2:$F$36,A252)</f>
        <v>0</v>
      </c>
      <c r="D252" s="5" t="n">
        <f aca="false">COUNTIFS('Observed lines'!$F$2:$F$36,A252,'Observed lines'!$G$2:$G$36,"&lt;&gt;")</f>
        <v>0</v>
      </c>
      <c r="E252" s="8" t="str">
        <f aca="false">IF(D252=0,"",_xlfn.MINIFS('Observed lines'!$G$2:$G$36,'Observed lines'!$F$2:$F$36,A252))</f>
        <v/>
      </c>
      <c r="F252" s="8" t="str">
        <f aca="false">IF(D252=0,"",_xlfn.MAXIFS('Observed lines'!$G$2:$G$36,'Observed lines'!$F$2:$F$36,A252))</f>
        <v/>
      </c>
      <c r="G252" s="5" t="str">
        <f aca="false">IF(D252=0,"none seen",IF(E252=F252,TEXT(E252,"$#,##0.00"),TEXT(E252,"$#,##0.00")&amp;" – "&amp;TEXT(F252,"$#,##0.00")))</f>
        <v>none seen</v>
      </c>
      <c r="H252" s="5" t="s">
        <v>1610</v>
      </c>
      <c r="I252" s="5" t="s">
        <v>776</v>
      </c>
    </row>
    <row r="253" customFormat="false" ht="15" hidden="false" customHeight="false" outlineLevel="0" collapsed="false">
      <c r="A253" s="5" t="s">
        <v>1340</v>
      </c>
      <c r="B253" s="5"/>
      <c r="C253" s="5" t="n">
        <f aca="false">COUNTIF('Observed lines'!$F$2:$F$36,A253)</f>
        <v>0</v>
      </c>
      <c r="D253" s="5" t="n">
        <f aca="false">COUNTIFS('Observed lines'!$F$2:$F$36,A253,'Observed lines'!$G$2:$G$36,"&lt;&gt;")</f>
        <v>0</v>
      </c>
      <c r="E253" s="8" t="str">
        <f aca="false">IF(D253=0,"",_xlfn.MINIFS('Observed lines'!$G$2:$G$36,'Observed lines'!$F$2:$F$36,A253))</f>
        <v/>
      </c>
      <c r="F253" s="8" t="str">
        <f aca="false">IF(D253=0,"",_xlfn.MAXIFS('Observed lines'!$G$2:$G$36,'Observed lines'!$F$2:$F$36,A253))</f>
        <v/>
      </c>
      <c r="G253" s="5" t="str">
        <f aca="false">IF(D253=0,"none seen",IF(E253=F253,TEXT(E253,"$#,##0.00"),TEXT(E253,"$#,##0.00")&amp;" – "&amp;TEXT(F253,"$#,##0.00")))</f>
        <v>none seen</v>
      </c>
      <c r="H253" s="5" t="s">
        <v>1610</v>
      </c>
      <c r="I253" s="5" t="s">
        <v>776</v>
      </c>
    </row>
    <row r="254" customFormat="false" ht="15" hidden="false" customHeight="false" outlineLevel="0" collapsed="false">
      <c r="A254" s="5" t="s">
        <v>1341</v>
      </c>
      <c r="B254" s="5"/>
      <c r="C254" s="5" t="n">
        <f aca="false">COUNTIF('Observed lines'!$F$2:$F$36,A254)</f>
        <v>0</v>
      </c>
      <c r="D254" s="5" t="n">
        <f aca="false">COUNTIFS('Observed lines'!$F$2:$F$36,A254,'Observed lines'!$G$2:$G$36,"&lt;&gt;")</f>
        <v>0</v>
      </c>
      <c r="E254" s="8" t="str">
        <f aca="false">IF(D254=0,"",_xlfn.MINIFS('Observed lines'!$G$2:$G$36,'Observed lines'!$F$2:$F$36,A254))</f>
        <v/>
      </c>
      <c r="F254" s="8" t="str">
        <f aca="false">IF(D254=0,"",_xlfn.MAXIFS('Observed lines'!$G$2:$G$36,'Observed lines'!$F$2:$F$36,A254))</f>
        <v/>
      </c>
      <c r="G254" s="5" t="str">
        <f aca="false">IF(D254=0,"none seen",IF(E254=F254,TEXT(E254,"$#,##0.00"),TEXT(E254,"$#,##0.00")&amp;" – "&amp;TEXT(F254,"$#,##0.00")))</f>
        <v>none seen</v>
      </c>
      <c r="H254" s="5" t="s">
        <v>1610</v>
      </c>
      <c r="I254" s="5" t="s">
        <v>776</v>
      </c>
    </row>
    <row r="255" customFormat="false" ht="15" hidden="false" customHeight="false" outlineLevel="0" collapsed="false">
      <c r="A255" s="5" t="s">
        <v>1342</v>
      </c>
      <c r="B255" s="5"/>
      <c r="C255" s="5" t="n">
        <f aca="false">COUNTIF('Observed lines'!$F$2:$F$36,A255)</f>
        <v>0</v>
      </c>
      <c r="D255" s="5" t="n">
        <f aca="false">COUNTIFS('Observed lines'!$F$2:$F$36,A255,'Observed lines'!$G$2:$G$36,"&lt;&gt;")</f>
        <v>0</v>
      </c>
      <c r="E255" s="8" t="str">
        <f aca="false">IF(D255=0,"",_xlfn.MINIFS('Observed lines'!$G$2:$G$36,'Observed lines'!$F$2:$F$36,A255))</f>
        <v/>
      </c>
      <c r="F255" s="8" t="str">
        <f aca="false">IF(D255=0,"",_xlfn.MAXIFS('Observed lines'!$G$2:$G$36,'Observed lines'!$F$2:$F$36,A255))</f>
        <v/>
      </c>
      <c r="G255" s="5" t="str">
        <f aca="false">IF(D255=0,"none seen",IF(E255=F255,TEXT(E255,"$#,##0.00"),TEXT(E255,"$#,##0.00")&amp;" – "&amp;TEXT(F255,"$#,##0.00")))</f>
        <v>none seen</v>
      </c>
      <c r="H255" s="5" t="s">
        <v>1610</v>
      </c>
      <c r="I255" s="5" t="s">
        <v>776</v>
      </c>
    </row>
    <row r="256" customFormat="false" ht="15" hidden="false" customHeight="false" outlineLevel="0" collapsed="false">
      <c r="A256" s="5" t="s">
        <v>1343</v>
      </c>
      <c r="B256" s="5"/>
      <c r="C256" s="5" t="n">
        <f aca="false">COUNTIF('Observed lines'!$F$2:$F$36,A256)</f>
        <v>0</v>
      </c>
      <c r="D256" s="5" t="n">
        <f aca="false">COUNTIFS('Observed lines'!$F$2:$F$36,A256,'Observed lines'!$G$2:$G$36,"&lt;&gt;")</f>
        <v>0</v>
      </c>
      <c r="E256" s="8" t="str">
        <f aca="false">IF(D256=0,"",_xlfn.MINIFS('Observed lines'!$G$2:$G$36,'Observed lines'!$F$2:$F$36,A256))</f>
        <v/>
      </c>
      <c r="F256" s="8" t="str">
        <f aca="false">IF(D256=0,"",_xlfn.MAXIFS('Observed lines'!$G$2:$G$36,'Observed lines'!$F$2:$F$36,A256))</f>
        <v/>
      </c>
      <c r="G256" s="5" t="str">
        <f aca="false">IF(D256=0,"none seen",IF(E256=F256,TEXT(E256,"$#,##0.00"),TEXT(E256,"$#,##0.00")&amp;" – "&amp;TEXT(F256,"$#,##0.00")))</f>
        <v>none seen</v>
      </c>
      <c r="H256" s="5" t="s">
        <v>1610</v>
      </c>
      <c r="I256" s="5" t="s">
        <v>776</v>
      </c>
    </row>
    <row r="257" customFormat="false" ht="15" hidden="false" customHeight="false" outlineLevel="0" collapsed="false">
      <c r="A257" s="5" t="s">
        <v>1344</v>
      </c>
      <c r="B257" s="5"/>
      <c r="C257" s="5" t="n">
        <f aca="false">COUNTIF('Observed lines'!$F$2:$F$36,A257)</f>
        <v>0</v>
      </c>
      <c r="D257" s="5" t="n">
        <f aca="false">COUNTIFS('Observed lines'!$F$2:$F$36,A257,'Observed lines'!$G$2:$G$36,"&lt;&gt;")</f>
        <v>0</v>
      </c>
      <c r="E257" s="8" t="str">
        <f aca="false">IF(D257=0,"",_xlfn.MINIFS('Observed lines'!$G$2:$G$36,'Observed lines'!$F$2:$F$36,A257))</f>
        <v/>
      </c>
      <c r="F257" s="8" t="str">
        <f aca="false">IF(D257=0,"",_xlfn.MAXIFS('Observed lines'!$G$2:$G$36,'Observed lines'!$F$2:$F$36,A257))</f>
        <v/>
      </c>
      <c r="G257" s="5" t="str">
        <f aca="false">IF(D257=0,"none seen",IF(E257=F257,TEXT(E257,"$#,##0.00"),TEXT(E257,"$#,##0.00")&amp;" – "&amp;TEXT(F257,"$#,##0.00")))</f>
        <v>none seen</v>
      </c>
      <c r="H257" s="5" t="s">
        <v>1610</v>
      </c>
      <c r="I257" s="5" t="s">
        <v>776</v>
      </c>
    </row>
    <row r="258" customFormat="false" ht="15" hidden="false" customHeight="false" outlineLevel="0" collapsed="false">
      <c r="A258" s="5" t="s">
        <v>1345</v>
      </c>
      <c r="B258" s="5"/>
      <c r="C258" s="5" t="n">
        <f aca="false">COUNTIF('Observed lines'!$F$2:$F$36,A258)</f>
        <v>0</v>
      </c>
      <c r="D258" s="5" t="n">
        <f aca="false">COUNTIFS('Observed lines'!$F$2:$F$36,A258,'Observed lines'!$G$2:$G$36,"&lt;&gt;")</f>
        <v>0</v>
      </c>
      <c r="E258" s="8" t="str">
        <f aca="false">IF(D258=0,"",_xlfn.MINIFS('Observed lines'!$G$2:$G$36,'Observed lines'!$F$2:$F$36,A258))</f>
        <v/>
      </c>
      <c r="F258" s="8" t="str">
        <f aca="false">IF(D258=0,"",_xlfn.MAXIFS('Observed lines'!$G$2:$G$36,'Observed lines'!$F$2:$F$36,A258))</f>
        <v/>
      </c>
      <c r="G258" s="5" t="str">
        <f aca="false">IF(D258=0,"none seen",IF(E258=F258,TEXT(E258,"$#,##0.00"),TEXT(E258,"$#,##0.00")&amp;" – "&amp;TEXT(F258,"$#,##0.00")))</f>
        <v>none seen</v>
      </c>
      <c r="H258" s="5" t="s">
        <v>1610</v>
      </c>
      <c r="I258" s="5" t="s">
        <v>776</v>
      </c>
    </row>
    <row r="259" customFormat="false" ht="15" hidden="false" customHeight="false" outlineLevel="0" collapsed="false">
      <c r="A259" s="5" t="s">
        <v>1346</v>
      </c>
      <c r="B259" s="5"/>
      <c r="C259" s="5" t="n">
        <f aca="false">COUNTIF('Observed lines'!$F$2:$F$36,A259)</f>
        <v>0</v>
      </c>
      <c r="D259" s="5" t="n">
        <f aca="false">COUNTIFS('Observed lines'!$F$2:$F$36,A259,'Observed lines'!$G$2:$G$36,"&lt;&gt;")</f>
        <v>0</v>
      </c>
      <c r="E259" s="8" t="str">
        <f aca="false">IF(D259=0,"",_xlfn.MINIFS('Observed lines'!$G$2:$G$36,'Observed lines'!$F$2:$F$36,A259))</f>
        <v/>
      </c>
      <c r="F259" s="8" t="str">
        <f aca="false">IF(D259=0,"",_xlfn.MAXIFS('Observed lines'!$G$2:$G$36,'Observed lines'!$F$2:$F$36,A259))</f>
        <v/>
      </c>
      <c r="G259" s="5" t="str">
        <f aca="false">IF(D259=0,"none seen",IF(E259=F259,TEXT(E259,"$#,##0.00"),TEXT(E259,"$#,##0.00")&amp;" – "&amp;TEXT(F259,"$#,##0.00")))</f>
        <v>none seen</v>
      </c>
      <c r="H259" s="5" t="s">
        <v>1610</v>
      </c>
      <c r="I259" s="5" t="s">
        <v>776</v>
      </c>
    </row>
    <row r="260" customFormat="false" ht="15" hidden="false" customHeight="false" outlineLevel="0" collapsed="false">
      <c r="A260" s="5" t="s">
        <v>1347</v>
      </c>
      <c r="B260" s="5"/>
      <c r="C260" s="5" t="n">
        <f aca="false">COUNTIF('Observed lines'!$F$2:$F$36,A260)</f>
        <v>0</v>
      </c>
      <c r="D260" s="5" t="n">
        <f aca="false">COUNTIFS('Observed lines'!$F$2:$F$36,A260,'Observed lines'!$G$2:$G$36,"&lt;&gt;")</f>
        <v>0</v>
      </c>
      <c r="E260" s="8" t="str">
        <f aca="false">IF(D260=0,"",_xlfn.MINIFS('Observed lines'!$G$2:$G$36,'Observed lines'!$F$2:$F$36,A260))</f>
        <v/>
      </c>
      <c r="F260" s="8" t="str">
        <f aca="false">IF(D260=0,"",_xlfn.MAXIFS('Observed lines'!$G$2:$G$36,'Observed lines'!$F$2:$F$36,A260))</f>
        <v/>
      </c>
      <c r="G260" s="5" t="str">
        <f aca="false">IF(D260=0,"none seen",IF(E260=F260,TEXT(E260,"$#,##0.00"),TEXT(E260,"$#,##0.00")&amp;" – "&amp;TEXT(F260,"$#,##0.00")))</f>
        <v>none seen</v>
      </c>
      <c r="H260" s="5" t="s">
        <v>1610</v>
      </c>
      <c r="I260" s="5" t="s">
        <v>776</v>
      </c>
    </row>
    <row r="261" customFormat="false" ht="15" hidden="false" customHeight="false" outlineLevel="0" collapsed="false">
      <c r="A261" s="5" t="s">
        <v>1348</v>
      </c>
      <c r="B261" s="5"/>
      <c r="C261" s="5" t="n">
        <f aca="false">COUNTIF('Observed lines'!$F$2:$F$36,A261)</f>
        <v>0</v>
      </c>
      <c r="D261" s="5" t="n">
        <f aca="false">COUNTIFS('Observed lines'!$F$2:$F$36,A261,'Observed lines'!$G$2:$G$36,"&lt;&gt;")</f>
        <v>0</v>
      </c>
      <c r="E261" s="8" t="str">
        <f aca="false">IF(D261=0,"",_xlfn.MINIFS('Observed lines'!$G$2:$G$36,'Observed lines'!$F$2:$F$36,A261))</f>
        <v/>
      </c>
      <c r="F261" s="8" t="str">
        <f aca="false">IF(D261=0,"",_xlfn.MAXIFS('Observed lines'!$G$2:$G$36,'Observed lines'!$F$2:$F$36,A261))</f>
        <v/>
      </c>
      <c r="G261" s="5" t="str">
        <f aca="false">IF(D261=0,"none seen",IF(E261=F261,TEXT(E261,"$#,##0.00"),TEXT(E261,"$#,##0.00")&amp;" – "&amp;TEXT(F261,"$#,##0.00")))</f>
        <v>none seen</v>
      </c>
      <c r="H261" s="5" t="s">
        <v>1610</v>
      </c>
      <c r="I261" s="5" t="s">
        <v>776</v>
      </c>
    </row>
    <row r="262" customFormat="false" ht="15" hidden="false" customHeight="false" outlineLevel="0" collapsed="false">
      <c r="A262" s="5" t="s">
        <v>1349</v>
      </c>
      <c r="B262" s="5"/>
      <c r="C262" s="5" t="n">
        <f aca="false">COUNTIF('Observed lines'!$F$2:$F$36,A262)</f>
        <v>0</v>
      </c>
      <c r="D262" s="5" t="n">
        <f aca="false">COUNTIFS('Observed lines'!$F$2:$F$36,A262,'Observed lines'!$G$2:$G$36,"&lt;&gt;")</f>
        <v>0</v>
      </c>
      <c r="E262" s="8" t="str">
        <f aca="false">IF(D262=0,"",_xlfn.MINIFS('Observed lines'!$G$2:$G$36,'Observed lines'!$F$2:$F$36,A262))</f>
        <v/>
      </c>
      <c r="F262" s="8" t="str">
        <f aca="false">IF(D262=0,"",_xlfn.MAXIFS('Observed lines'!$G$2:$G$36,'Observed lines'!$F$2:$F$36,A262))</f>
        <v/>
      </c>
      <c r="G262" s="5" t="str">
        <f aca="false">IF(D262=0,"none seen",IF(E262=F262,TEXT(E262,"$#,##0.00"),TEXT(E262,"$#,##0.00")&amp;" – "&amp;TEXT(F262,"$#,##0.00")))</f>
        <v>none seen</v>
      </c>
      <c r="H262" s="5" t="s">
        <v>1610</v>
      </c>
      <c r="I262" s="5" t="s">
        <v>776</v>
      </c>
    </row>
    <row r="263" customFormat="false" ht="15" hidden="false" customHeight="false" outlineLevel="0" collapsed="false">
      <c r="A263" s="5" t="s">
        <v>1350</v>
      </c>
      <c r="B263" s="5"/>
      <c r="C263" s="5" t="n">
        <f aca="false">COUNTIF('Observed lines'!$F$2:$F$36,A263)</f>
        <v>0</v>
      </c>
      <c r="D263" s="5" t="n">
        <f aca="false">COUNTIFS('Observed lines'!$F$2:$F$36,A263,'Observed lines'!$G$2:$G$36,"&lt;&gt;")</f>
        <v>0</v>
      </c>
      <c r="E263" s="8" t="str">
        <f aca="false">IF(D263=0,"",_xlfn.MINIFS('Observed lines'!$G$2:$G$36,'Observed lines'!$F$2:$F$36,A263))</f>
        <v/>
      </c>
      <c r="F263" s="8" t="str">
        <f aca="false">IF(D263=0,"",_xlfn.MAXIFS('Observed lines'!$G$2:$G$36,'Observed lines'!$F$2:$F$36,A263))</f>
        <v/>
      </c>
      <c r="G263" s="5" t="str">
        <f aca="false">IF(D263=0,"none seen",IF(E263=F263,TEXT(E263,"$#,##0.00"),TEXT(E263,"$#,##0.00")&amp;" – "&amp;TEXT(F263,"$#,##0.00")))</f>
        <v>none seen</v>
      </c>
      <c r="H263" s="5" t="s">
        <v>1610</v>
      </c>
      <c r="I263" s="5" t="s">
        <v>776</v>
      </c>
    </row>
    <row r="264" customFormat="false" ht="15" hidden="false" customHeight="false" outlineLevel="0" collapsed="false">
      <c r="A264" s="5" t="s">
        <v>1351</v>
      </c>
      <c r="B264" s="5"/>
      <c r="C264" s="5" t="n">
        <f aca="false">COUNTIF('Observed lines'!$F$2:$F$36,A264)</f>
        <v>0</v>
      </c>
      <c r="D264" s="5" t="n">
        <f aca="false">COUNTIFS('Observed lines'!$F$2:$F$36,A264,'Observed lines'!$G$2:$G$36,"&lt;&gt;")</f>
        <v>0</v>
      </c>
      <c r="E264" s="8" t="str">
        <f aca="false">IF(D264=0,"",_xlfn.MINIFS('Observed lines'!$G$2:$G$36,'Observed lines'!$F$2:$F$36,A264))</f>
        <v/>
      </c>
      <c r="F264" s="8" t="str">
        <f aca="false">IF(D264=0,"",_xlfn.MAXIFS('Observed lines'!$G$2:$G$36,'Observed lines'!$F$2:$F$36,A264))</f>
        <v/>
      </c>
      <c r="G264" s="5" t="str">
        <f aca="false">IF(D264=0,"none seen",IF(E264=F264,TEXT(E264,"$#,##0.00"),TEXT(E264,"$#,##0.00")&amp;" – "&amp;TEXT(F264,"$#,##0.00")))</f>
        <v>none seen</v>
      </c>
      <c r="H264" s="5" t="s">
        <v>1610</v>
      </c>
      <c r="I264" s="5" t="s">
        <v>776</v>
      </c>
    </row>
    <row r="265" customFormat="false" ht="15" hidden="false" customHeight="false" outlineLevel="0" collapsed="false">
      <c r="A265" s="5" t="s">
        <v>1352</v>
      </c>
      <c r="B265" s="5"/>
      <c r="C265" s="5" t="n">
        <f aca="false">COUNTIF('Observed lines'!$F$2:$F$36,A265)</f>
        <v>0</v>
      </c>
      <c r="D265" s="5" t="n">
        <f aca="false">COUNTIFS('Observed lines'!$F$2:$F$36,A265,'Observed lines'!$G$2:$G$36,"&lt;&gt;")</f>
        <v>0</v>
      </c>
      <c r="E265" s="8" t="str">
        <f aca="false">IF(D265=0,"",_xlfn.MINIFS('Observed lines'!$G$2:$G$36,'Observed lines'!$F$2:$F$36,A265))</f>
        <v/>
      </c>
      <c r="F265" s="8" t="str">
        <f aca="false">IF(D265=0,"",_xlfn.MAXIFS('Observed lines'!$G$2:$G$36,'Observed lines'!$F$2:$F$36,A265))</f>
        <v/>
      </c>
      <c r="G265" s="5" t="str">
        <f aca="false">IF(D265=0,"none seen",IF(E265=F265,TEXT(E265,"$#,##0.00"),TEXT(E265,"$#,##0.00")&amp;" – "&amp;TEXT(F265,"$#,##0.00")))</f>
        <v>none seen</v>
      </c>
      <c r="H265" s="5" t="s">
        <v>1610</v>
      </c>
      <c r="I265" s="5" t="s">
        <v>776</v>
      </c>
    </row>
    <row r="266" customFormat="false" ht="15" hidden="false" customHeight="false" outlineLevel="0" collapsed="false">
      <c r="A266" s="5" t="s">
        <v>1353</v>
      </c>
      <c r="B266" s="5"/>
      <c r="C266" s="5" t="n">
        <f aca="false">COUNTIF('Observed lines'!$F$2:$F$36,A266)</f>
        <v>0</v>
      </c>
      <c r="D266" s="5" t="n">
        <f aca="false">COUNTIFS('Observed lines'!$F$2:$F$36,A266,'Observed lines'!$G$2:$G$36,"&lt;&gt;")</f>
        <v>0</v>
      </c>
      <c r="E266" s="8" t="str">
        <f aca="false">IF(D266=0,"",_xlfn.MINIFS('Observed lines'!$G$2:$G$36,'Observed lines'!$F$2:$F$36,A266))</f>
        <v/>
      </c>
      <c r="F266" s="8" t="str">
        <f aca="false">IF(D266=0,"",_xlfn.MAXIFS('Observed lines'!$G$2:$G$36,'Observed lines'!$F$2:$F$36,A266))</f>
        <v/>
      </c>
      <c r="G266" s="5" t="str">
        <f aca="false">IF(D266=0,"none seen",IF(E266=F266,TEXT(E266,"$#,##0.00"),TEXT(E266,"$#,##0.00")&amp;" – "&amp;TEXT(F266,"$#,##0.00")))</f>
        <v>none seen</v>
      </c>
      <c r="H266" s="5" t="s">
        <v>1610</v>
      </c>
      <c r="I266" s="5" t="s">
        <v>776</v>
      </c>
    </row>
    <row r="267" customFormat="false" ht="15" hidden="false" customHeight="false" outlineLevel="0" collapsed="false">
      <c r="A267" s="5" t="s">
        <v>1354</v>
      </c>
      <c r="B267" s="5"/>
      <c r="C267" s="5" t="n">
        <f aca="false">COUNTIF('Observed lines'!$F$2:$F$36,A267)</f>
        <v>0</v>
      </c>
      <c r="D267" s="5" t="n">
        <f aca="false">COUNTIFS('Observed lines'!$F$2:$F$36,A267,'Observed lines'!$G$2:$G$36,"&lt;&gt;")</f>
        <v>0</v>
      </c>
      <c r="E267" s="8" t="str">
        <f aca="false">IF(D267=0,"",_xlfn.MINIFS('Observed lines'!$G$2:$G$36,'Observed lines'!$F$2:$F$36,A267))</f>
        <v/>
      </c>
      <c r="F267" s="8" t="str">
        <f aca="false">IF(D267=0,"",_xlfn.MAXIFS('Observed lines'!$G$2:$G$36,'Observed lines'!$F$2:$F$36,A267))</f>
        <v/>
      </c>
      <c r="G267" s="5" t="str">
        <f aca="false">IF(D267=0,"none seen",IF(E267=F267,TEXT(E267,"$#,##0.00"),TEXT(E267,"$#,##0.00")&amp;" – "&amp;TEXT(F267,"$#,##0.00")))</f>
        <v>none seen</v>
      </c>
      <c r="H267" s="5" t="s">
        <v>1610</v>
      </c>
      <c r="I267" s="5" t="s">
        <v>776</v>
      </c>
    </row>
    <row r="268" customFormat="false" ht="15" hidden="false" customHeight="false" outlineLevel="0" collapsed="false">
      <c r="A268" s="5" t="s">
        <v>1355</v>
      </c>
      <c r="B268" s="5"/>
      <c r="C268" s="5" t="n">
        <f aca="false">COUNTIF('Observed lines'!$F$2:$F$36,A268)</f>
        <v>0</v>
      </c>
      <c r="D268" s="5" t="n">
        <f aca="false">COUNTIFS('Observed lines'!$F$2:$F$36,A268,'Observed lines'!$G$2:$G$36,"&lt;&gt;")</f>
        <v>0</v>
      </c>
      <c r="E268" s="8" t="str">
        <f aca="false">IF(D268=0,"",_xlfn.MINIFS('Observed lines'!$G$2:$G$36,'Observed lines'!$F$2:$F$36,A268))</f>
        <v/>
      </c>
      <c r="F268" s="8" t="str">
        <f aca="false">IF(D268=0,"",_xlfn.MAXIFS('Observed lines'!$G$2:$G$36,'Observed lines'!$F$2:$F$36,A268))</f>
        <v/>
      </c>
      <c r="G268" s="5" t="str">
        <f aca="false">IF(D268=0,"none seen",IF(E268=F268,TEXT(E268,"$#,##0.00"),TEXT(E268,"$#,##0.00")&amp;" – "&amp;TEXT(F268,"$#,##0.00")))</f>
        <v>none seen</v>
      </c>
      <c r="H268" s="5" t="s">
        <v>1610</v>
      </c>
      <c r="I268" s="5" t="s">
        <v>776</v>
      </c>
    </row>
    <row r="269" customFormat="false" ht="15" hidden="false" customHeight="false" outlineLevel="0" collapsed="false">
      <c r="A269" s="5" t="s">
        <v>1356</v>
      </c>
      <c r="B269" s="5"/>
      <c r="C269" s="5" t="n">
        <f aca="false">COUNTIF('Observed lines'!$F$2:$F$36,A269)</f>
        <v>0</v>
      </c>
      <c r="D269" s="5" t="n">
        <f aca="false">COUNTIFS('Observed lines'!$F$2:$F$36,A269,'Observed lines'!$G$2:$G$36,"&lt;&gt;")</f>
        <v>0</v>
      </c>
      <c r="E269" s="8" t="str">
        <f aca="false">IF(D269=0,"",_xlfn.MINIFS('Observed lines'!$G$2:$G$36,'Observed lines'!$F$2:$F$36,A269))</f>
        <v/>
      </c>
      <c r="F269" s="8" t="str">
        <f aca="false">IF(D269=0,"",_xlfn.MAXIFS('Observed lines'!$G$2:$G$36,'Observed lines'!$F$2:$F$36,A269))</f>
        <v/>
      </c>
      <c r="G269" s="5" t="str">
        <f aca="false">IF(D269=0,"none seen",IF(E269=F269,TEXT(E269,"$#,##0.00"),TEXT(E269,"$#,##0.00")&amp;" – "&amp;TEXT(F269,"$#,##0.00")))</f>
        <v>none seen</v>
      </c>
      <c r="H269" s="5" t="s">
        <v>1610</v>
      </c>
      <c r="I269" s="5" t="s">
        <v>776</v>
      </c>
    </row>
    <row r="270" customFormat="false" ht="15" hidden="false" customHeight="false" outlineLevel="0" collapsed="false">
      <c r="A270" s="5" t="s">
        <v>1357</v>
      </c>
      <c r="B270" s="5"/>
      <c r="C270" s="5" t="n">
        <f aca="false">COUNTIF('Observed lines'!$F$2:$F$36,A270)</f>
        <v>0</v>
      </c>
      <c r="D270" s="5" t="n">
        <f aca="false">COUNTIFS('Observed lines'!$F$2:$F$36,A270,'Observed lines'!$G$2:$G$36,"&lt;&gt;")</f>
        <v>0</v>
      </c>
      <c r="E270" s="8" t="str">
        <f aca="false">IF(D270=0,"",_xlfn.MINIFS('Observed lines'!$G$2:$G$36,'Observed lines'!$F$2:$F$36,A270))</f>
        <v/>
      </c>
      <c r="F270" s="8" t="str">
        <f aca="false">IF(D270=0,"",_xlfn.MAXIFS('Observed lines'!$G$2:$G$36,'Observed lines'!$F$2:$F$36,A270))</f>
        <v/>
      </c>
      <c r="G270" s="5" t="str">
        <f aca="false">IF(D270=0,"none seen",IF(E270=F270,TEXT(E270,"$#,##0.00"),TEXT(E270,"$#,##0.00")&amp;" – "&amp;TEXT(F270,"$#,##0.00")))</f>
        <v>none seen</v>
      </c>
      <c r="H270" s="5" t="s">
        <v>1610</v>
      </c>
      <c r="I270" s="5" t="s">
        <v>776</v>
      </c>
    </row>
    <row r="271" customFormat="false" ht="15" hidden="false" customHeight="false" outlineLevel="0" collapsed="false">
      <c r="A271" s="5" t="s">
        <v>1358</v>
      </c>
      <c r="B271" s="5"/>
      <c r="C271" s="5" t="n">
        <f aca="false">COUNTIF('Observed lines'!$F$2:$F$36,A271)</f>
        <v>0</v>
      </c>
      <c r="D271" s="5" t="n">
        <f aca="false">COUNTIFS('Observed lines'!$F$2:$F$36,A271,'Observed lines'!$G$2:$G$36,"&lt;&gt;")</f>
        <v>0</v>
      </c>
      <c r="E271" s="8" t="str">
        <f aca="false">IF(D271=0,"",_xlfn.MINIFS('Observed lines'!$G$2:$G$36,'Observed lines'!$F$2:$F$36,A271))</f>
        <v/>
      </c>
      <c r="F271" s="8" t="str">
        <f aca="false">IF(D271=0,"",_xlfn.MAXIFS('Observed lines'!$G$2:$G$36,'Observed lines'!$F$2:$F$36,A271))</f>
        <v/>
      </c>
      <c r="G271" s="5" t="str">
        <f aca="false">IF(D271=0,"none seen",IF(E271=F271,TEXT(E271,"$#,##0.00"),TEXT(E271,"$#,##0.00")&amp;" – "&amp;TEXT(F271,"$#,##0.00")))</f>
        <v>none seen</v>
      </c>
      <c r="H271" s="5" t="s">
        <v>1610</v>
      </c>
      <c r="I271" s="5" t="s">
        <v>776</v>
      </c>
    </row>
    <row r="272" customFormat="false" ht="15" hidden="false" customHeight="false" outlineLevel="0" collapsed="false">
      <c r="A272" s="5" t="s">
        <v>1359</v>
      </c>
      <c r="B272" s="5"/>
      <c r="C272" s="5" t="n">
        <f aca="false">COUNTIF('Observed lines'!$F$2:$F$36,A272)</f>
        <v>0</v>
      </c>
      <c r="D272" s="5" t="n">
        <f aca="false">COUNTIFS('Observed lines'!$F$2:$F$36,A272,'Observed lines'!$G$2:$G$36,"&lt;&gt;")</f>
        <v>0</v>
      </c>
      <c r="E272" s="8" t="str">
        <f aca="false">IF(D272=0,"",_xlfn.MINIFS('Observed lines'!$G$2:$G$36,'Observed lines'!$F$2:$F$36,A272))</f>
        <v/>
      </c>
      <c r="F272" s="8" t="str">
        <f aca="false">IF(D272=0,"",_xlfn.MAXIFS('Observed lines'!$G$2:$G$36,'Observed lines'!$F$2:$F$36,A272))</f>
        <v/>
      </c>
      <c r="G272" s="5" t="str">
        <f aca="false">IF(D272=0,"none seen",IF(E272=F272,TEXT(E272,"$#,##0.00"),TEXT(E272,"$#,##0.00")&amp;" – "&amp;TEXT(F272,"$#,##0.00")))</f>
        <v>none seen</v>
      </c>
      <c r="H272" s="5" t="s">
        <v>1610</v>
      </c>
      <c r="I272" s="5" t="s">
        <v>776</v>
      </c>
    </row>
    <row r="273" customFormat="false" ht="15" hidden="false" customHeight="false" outlineLevel="0" collapsed="false">
      <c r="A273" s="5" t="s">
        <v>1360</v>
      </c>
      <c r="B273" s="5"/>
      <c r="C273" s="5" t="n">
        <f aca="false">COUNTIF('Observed lines'!$F$2:$F$36,A273)</f>
        <v>0</v>
      </c>
      <c r="D273" s="5" t="n">
        <f aca="false">COUNTIFS('Observed lines'!$F$2:$F$36,A273,'Observed lines'!$G$2:$G$36,"&lt;&gt;")</f>
        <v>0</v>
      </c>
      <c r="E273" s="8" t="str">
        <f aca="false">IF(D273=0,"",_xlfn.MINIFS('Observed lines'!$G$2:$G$36,'Observed lines'!$F$2:$F$36,A273))</f>
        <v/>
      </c>
      <c r="F273" s="8" t="str">
        <f aca="false">IF(D273=0,"",_xlfn.MAXIFS('Observed lines'!$G$2:$G$36,'Observed lines'!$F$2:$F$36,A273))</f>
        <v/>
      </c>
      <c r="G273" s="5" t="str">
        <f aca="false">IF(D273=0,"none seen",IF(E273=F273,TEXT(E273,"$#,##0.00"),TEXT(E273,"$#,##0.00")&amp;" – "&amp;TEXT(F273,"$#,##0.00")))</f>
        <v>none seen</v>
      </c>
      <c r="H273" s="5" t="s">
        <v>1610</v>
      </c>
      <c r="I273" s="5" t="s">
        <v>776</v>
      </c>
    </row>
    <row r="274" customFormat="false" ht="15" hidden="false" customHeight="false" outlineLevel="0" collapsed="false">
      <c r="A274" s="5" t="s">
        <v>1361</v>
      </c>
      <c r="B274" s="5"/>
      <c r="C274" s="5" t="n">
        <f aca="false">COUNTIF('Observed lines'!$F$2:$F$36,A274)</f>
        <v>0</v>
      </c>
      <c r="D274" s="5" t="n">
        <f aca="false">COUNTIFS('Observed lines'!$F$2:$F$36,A274,'Observed lines'!$G$2:$G$36,"&lt;&gt;")</f>
        <v>0</v>
      </c>
      <c r="E274" s="8" t="str">
        <f aca="false">IF(D274=0,"",_xlfn.MINIFS('Observed lines'!$G$2:$G$36,'Observed lines'!$F$2:$F$36,A274))</f>
        <v/>
      </c>
      <c r="F274" s="8" t="str">
        <f aca="false">IF(D274=0,"",_xlfn.MAXIFS('Observed lines'!$G$2:$G$36,'Observed lines'!$F$2:$F$36,A274))</f>
        <v/>
      </c>
      <c r="G274" s="5" t="str">
        <f aca="false">IF(D274=0,"none seen",IF(E274=F274,TEXT(E274,"$#,##0.00"),TEXT(E274,"$#,##0.00")&amp;" – "&amp;TEXT(F274,"$#,##0.00")))</f>
        <v>none seen</v>
      </c>
      <c r="H274" s="5" t="s">
        <v>1610</v>
      </c>
      <c r="I274" s="5" t="s">
        <v>776</v>
      </c>
    </row>
    <row r="275" customFormat="false" ht="15" hidden="false" customHeight="false" outlineLevel="0" collapsed="false">
      <c r="A275" s="5" t="s">
        <v>1362</v>
      </c>
      <c r="B275" s="5"/>
      <c r="C275" s="5" t="n">
        <f aca="false">COUNTIF('Observed lines'!$F$2:$F$36,A275)</f>
        <v>0</v>
      </c>
      <c r="D275" s="5" t="n">
        <f aca="false">COUNTIFS('Observed lines'!$F$2:$F$36,A275,'Observed lines'!$G$2:$G$36,"&lt;&gt;")</f>
        <v>0</v>
      </c>
      <c r="E275" s="8" t="str">
        <f aca="false">IF(D275=0,"",_xlfn.MINIFS('Observed lines'!$G$2:$G$36,'Observed lines'!$F$2:$F$36,A275))</f>
        <v/>
      </c>
      <c r="F275" s="8" t="str">
        <f aca="false">IF(D275=0,"",_xlfn.MAXIFS('Observed lines'!$G$2:$G$36,'Observed lines'!$F$2:$F$36,A275))</f>
        <v/>
      </c>
      <c r="G275" s="5" t="str">
        <f aca="false">IF(D275=0,"none seen",IF(E275=F275,TEXT(E275,"$#,##0.00"),TEXT(E275,"$#,##0.00")&amp;" – "&amp;TEXT(F275,"$#,##0.00")))</f>
        <v>none seen</v>
      </c>
      <c r="H275" s="5" t="s">
        <v>1610</v>
      </c>
      <c r="I275" s="5" t="s">
        <v>776</v>
      </c>
    </row>
    <row r="276" customFormat="false" ht="15" hidden="false" customHeight="false" outlineLevel="0" collapsed="false">
      <c r="A276" s="5" t="s">
        <v>1363</v>
      </c>
      <c r="B276" s="5"/>
      <c r="C276" s="5" t="n">
        <f aca="false">COUNTIF('Observed lines'!$F$2:$F$36,A276)</f>
        <v>0</v>
      </c>
      <c r="D276" s="5" t="n">
        <f aca="false">COUNTIFS('Observed lines'!$F$2:$F$36,A276,'Observed lines'!$G$2:$G$36,"&lt;&gt;")</f>
        <v>0</v>
      </c>
      <c r="E276" s="8" t="str">
        <f aca="false">IF(D276=0,"",_xlfn.MINIFS('Observed lines'!$G$2:$G$36,'Observed lines'!$F$2:$F$36,A276))</f>
        <v/>
      </c>
      <c r="F276" s="8" t="str">
        <f aca="false">IF(D276=0,"",_xlfn.MAXIFS('Observed lines'!$G$2:$G$36,'Observed lines'!$F$2:$F$36,A276))</f>
        <v/>
      </c>
      <c r="G276" s="5" t="str">
        <f aca="false">IF(D276=0,"none seen",IF(E276=F276,TEXT(E276,"$#,##0.00"),TEXT(E276,"$#,##0.00")&amp;" – "&amp;TEXT(F276,"$#,##0.00")))</f>
        <v>none seen</v>
      </c>
      <c r="H276" s="5" t="s">
        <v>1610</v>
      </c>
      <c r="I276" s="5" t="s">
        <v>776</v>
      </c>
    </row>
    <row r="277" customFormat="false" ht="15" hidden="false" customHeight="false" outlineLevel="0" collapsed="false">
      <c r="A277" s="5" t="s">
        <v>1364</v>
      </c>
      <c r="B277" s="5"/>
      <c r="C277" s="5" t="n">
        <f aca="false">COUNTIF('Observed lines'!$F$2:$F$36,A277)</f>
        <v>0</v>
      </c>
      <c r="D277" s="5" t="n">
        <f aca="false">COUNTIFS('Observed lines'!$F$2:$F$36,A277,'Observed lines'!$G$2:$G$36,"&lt;&gt;")</f>
        <v>0</v>
      </c>
      <c r="E277" s="8" t="str">
        <f aca="false">IF(D277=0,"",_xlfn.MINIFS('Observed lines'!$G$2:$G$36,'Observed lines'!$F$2:$F$36,A277))</f>
        <v/>
      </c>
      <c r="F277" s="8" t="str">
        <f aca="false">IF(D277=0,"",_xlfn.MAXIFS('Observed lines'!$G$2:$G$36,'Observed lines'!$F$2:$F$36,A277))</f>
        <v/>
      </c>
      <c r="G277" s="5" t="str">
        <f aca="false">IF(D277=0,"none seen",IF(E277=F277,TEXT(E277,"$#,##0.00"),TEXT(E277,"$#,##0.00")&amp;" – "&amp;TEXT(F277,"$#,##0.00")))</f>
        <v>none seen</v>
      </c>
      <c r="H277" s="5" t="s">
        <v>1610</v>
      </c>
      <c r="I277" s="5" t="s">
        <v>776</v>
      </c>
    </row>
    <row r="278" customFormat="false" ht="15" hidden="false" customHeight="false" outlineLevel="0" collapsed="false">
      <c r="A278" s="5" t="s">
        <v>1365</v>
      </c>
      <c r="B278" s="5"/>
      <c r="C278" s="5" t="n">
        <f aca="false">COUNTIF('Observed lines'!$F$2:$F$36,A278)</f>
        <v>0</v>
      </c>
      <c r="D278" s="5" t="n">
        <f aca="false">COUNTIFS('Observed lines'!$F$2:$F$36,A278,'Observed lines'!$G$2:$G$36,"&lt;&gt;")</f>
        <v>0</v>
      </c>
      <c r="E278" s="8" t="str">
        <f aca="false">IF(D278=0,"",_xlfn.MINIFS('Observed lines'!$G$2:$G$36,'Observed lines'!$F$2:$F$36,A278))</f>
        <v/>
      </c>
      <c r="F278" s="8" t="str">
        <f aca="false">IF(D278=0,"",_xlfn.MAXIFS('Observed lines'!$G$2:$G$36,'Observed lines'!$F$2:$F$36,A278))</f>
        <v/>
      </c>
      <c r="G278" s="5" t="str">
        <f aca="false">IF(D278=0,"none seen",IF(E278=F278,TEXT(E278,"$#,##0.00"),TEXT(E278,"$#,##0.00")&amp;" – "&amp;TEXT(F278,"$#,##0.00")))</f>
        <v>none seen</v>
      </c>
      <c r="H278" s="5" t="s">
        <v>1610</v>
      </c>
      <c r="I278" s="5" t="s">
        <v>776</v>
      </c>
    </row>
    <row r="279" customFormat="false" ht="15" hidden="false" customHeight="false" outlineLevel="0" collapsed="false">
      <c r="A279" s="5" t="s">
        <v>1366</v>
      </c>
      <c r="B279" s="5"/>
      <c r="C279" s="5" t="n">
        <f aca="false">COUNTIF('Observed lines'!$F$2:$F$36,A279)</f>
        <v>0</v>
      </c>
      <c r="D279" s="5" t="n">
        <f aca="false">COUNTIFS('Observed lines'!$F$2:$F$36,A279,'Observed lines'!$G$2:$G$36,"&lt;&gt;")</f>
        <v>0</v>
      </c>
      <c r="E279" s="8" t="str">
        <f aca="false">IF(D279=0,"",_xlfn.MINIFS('Observed lines'!$G$2:$G$36,'Observed lines'!$F$2:$F$36,A279))</f>
        <v/>
      </c>
      <c r="F279" s="8" t="str">
        <f aca="false">IF(D279=0,"",_xlfn.MAXIFS('Observed lines'!$G$2:$G$36,'Observed lines'!$F$2:$F$36,A279))</f>
        <v/>
      </c>
      <c r="G279" s="5" t="str">
        <f aca="false">IF(D279=0,"none seen",IF(E279=F279,TEXT(E279,"$#,##0.00"),TEXT(E279,"$#,##0.00")&amp;" – "&amp;TEXT(F279,"$#,##0.00")))</f>
        <v>none seen</v>
      </c>
      <c r="H279" s="5" t="s">
        <v>1610</v>
      </c>
      <c r="I279" s="5" t="s">
        <v>776</v>
      </c>
    </row>
    <row r="280" customFormat="false" ht="15" hidden="false" customHeight="false" outlineLevel="0" collapsed="false">
      <c r="A280" s="5" t="s">
        <v>1367</v>
      </c>
      <c r="B280" s="5"/>
      <c r="C280" s="5" t="n">
        <f aca="false">COUNTIF('Observed lines'!$F$2:$F$36,A280)</f>
        <v>0</v>
      </c>
      <c r="D280" s="5" t="n">
        <f aca="false">COUNTIFS('Observed lines'!$F$2:$F$36,A280,'Observed lines'!$G$2:$G$36,"&lt;&gt;")</f>
        <v>0</v>
      </c>
      <c r="E280" s="8" t="str">
        <f aca="false">IF(D280=0,"",_xlfn.MINIFS('Observed lines'!$G$2:$G$36,'Observed lines'!$F$2:$F$36,A280))</f>
        <v/>
      </c>
      <c r="F280" s="8" t="str">
        <f aca="false">IF(D280=0,"",_xlfn.MAXIFS('Observed lines'!$G$2:$G$36,'Observed lines'!$F$2:$F$36,A280))</f>
        <v/>
      </c>
      <c r="G280" s="5" t="str">
        <f aca="false">IF(D280=0,"none seen",IF(E280=F280,TEXT(E280,"$#,##0.00"),TEXT(E280,"$#,##0.00")&amp;" – "&amp;TEXT(F280,"$#,##0.00")))</f>
        <v>none seen</v>
      </c>
      <c r="H280" s="5" t="s">
        <v>1610</v>
      </c>
      <c r="I280" s="5" t="s">
        <v>776</v>
      </c>
    </row>
    <row r="281" customFormat="false" ht="15" hidden="false" customHeight="false" outlineLevel="0" collapsed="false">
      <c r="A281" s="5" t="s">
        <v>1368</v>
      </c>
      <c r="B281" s="5"/>
      <c r="C281" s="5" t="n">
        <f aca="false">COUNTIF('Observed lines'!$F$2:$F$36,A281)</f>
        <v>0</v>
      </c>
      <c r="D281" s="5" t="n">
        <f aca="false">COUNTIFS('Observed lines'!$F$2:$F$36,A281,'Observed lines'!$G$2:$G$36,"&lt;&gt;")</f>
        <v>0</v>
      </c>
      <c r="E281" s="8" t="str">
        <f aca="false">IF(D281=0,"",_xlfn.MINIFS('Observed lines'!$G$2:$G$36,'Observed lines'!$F$2:$F$36,A281))</f>
        <v/>
      </c>
      <c r="F281" s="8" t="str">
        <f aca="false">IF(D281=0,"",_xlfn.MAXIFS('Observed lines'!$G$2:$G$36,'Observed lines'!$F$2:$F$36,A281))</f>
        <v/>
      </c>
      <c r="G281" s="5" t="str">
        <f aca="false">IF(D281=0,"none seen",IF(E281=F281,TEXT(E281,"$#,##0.00"),TEXT(E281,"$#,##0.00")&amp;" – "&amp;TEXT(F281,"$#,##0.00")))</f>
        <v>none seen</v>
      </c>
      <c r="H281" s="5" t="s">
        <v>1610</v>
      </c>
      <c r="I281" s="5" t="s">
        <v>776</v>
      </c>
    </row>
    <row r="282" customFormat="false" ht="15" hidden="false" customHeight="false" outlineLevel="0" collapsed="false">
      <c r="A282" s="5" t="s">
        <v>1369</v>
      </c>
      <c r="B282" s="5"/>
      <c r="C282" s="5" t="n">
        <f aca="false">COUNTIF('Observed lines'!$F$2:$F$36,A282)</f>
        <v>0</v>
      </c>
      <c r="D282" s="5" t="n">
        <f aca="false">COUNTIFS('Observed lines'!$F$2:$F$36,A282,'Observed lines'!$G$2:$G$36,"&lt;&gt;")</f>
        <v>0</v>
      </c>
      <c r="E282" s="8" t="str">
        <f aca="false">IF(D282=0,"",_xlfn.MINIFS('Observed lines'!$G$2:$G$36,'Observed lines'!$F$2:$F$36,A282))</f>
        <v/>
      </c>
      <c r="F282" s="8" t="str">
        <f aca="false">IF(D282=0,"",_xlfn.MAXIFS('Observed lines'!$G$2:$G$36,'Observed lines'!$F$2:$F$36,A282))</f>
        <v/>
      </c>
      <c r="G282" s="5" t="str">
        <f aca="false">IF(D282=0,"none seen",IF(E282=F282,TEXT(E282,"$#,##0.00"),TEXT(E282,"$#,##0.00")&amp;" – "&amp;TEXT(F282,"$#,##0.00")))</f>
        <v>none seen</v>
      </c>
      <c r="H282" s="5" t="s">
        <v>1610</v>
      </c>
      <c r="I282" s="5" t="s">
        <v>776</v>
      </c>
    </row>
    <row r="283" customFormat="false" ht="15" hidden="false" customHeight="false" outlineLevel="0" collapsed="false">
      <c r="A283" s="5" t="s">
        <v>1370</v>
      </c>
      <c r="B283" s="5"/>
      <c r="C283" s="5" t="n">
        <f aca="false">COUNTIF('Observed lines'!$F$2:$F$36,A283)</f>
        <v>0</v>
      </c>
      <c r="D283" s="5" t="n">
        <f aca="false">COUNTIFS('Observed lines'!$F$2:$F$36,A283,'Observed lines'!$G$2:$G$36,"&lt;&gt;")</f>
        <v>0</v>
      </c>
      <c r="E283" s="8" t="str">
        <f aca="false">IF(D283=0,"",_xlfn.MINIFS('Observed lines'!$G$2:$G$36,'Observed lines'!$F$2:$F$36,A283))</f>
        <v/>
      </c>
      <c r="F283" s="8" t="str">
        <f aca="false">IF(D283=0,"",_xlfn.MAXIFS('Observed lines'!$G$2:$G$36,'Observed lines'!$F$2:$F$36,A283))</f>
        <v/>
      </c>
      <c r="G283" s="5" t="str">
        <f aca="false">IF(D283=0,"none seen",IF(E283=F283,TEXT(E283,"$#,##0.00"),TEXT(E283,"$#,##0.00")&amp;" – "&amp;TEXT(F283,"$#,##0.00")))</f>
        <v>none seen</v>
      </c>
      <c r="H283" s="5" t="s">
        <v>1610</v>
      </c>
      <c r="I283" s="5" t="s">
        <v>776</v>
      </c>
    </row>
    <row r="284" customFormat="false" ht="15" hidden="false" customHeight="false" outlineLevel="0" collapsed="false">
      <c r="A284" s="5" t="s">
        <v>1371</v>
      </c>
      <c r="B284" s="5"/>
      <c r="C284" s="5" t="n">
        <f aca="false">COUNTIF('Observed lines'!$F$2:$F$36,A284)</f>
        <v>0</v>
      </c>
      <c r="D284" s="5" t="n">
        <f aca="false">COUNTIFS('Observed lines'!$F$2:$F$36,A284,'Observed lines'!$G$2:$G$36,"&lt;&gt;")</f>
        <v>0</v>
      </c>
      <c r="E284" s="8" t="str">
        <f aca="false">IF(D284=0,"",_xlfn.MINIFS('Observed lines'!$G$2:$G$36,'Observed lines'!$F$2:$F$36,A284))</f>
        <v/>
      </c>
      <c r="F284" s="8" t="str">
        <f aca="false">IF(D284=0,"",_xlfn.MAXIFS('Observed lines'!$G$2:$G$36,'Observed lines'!$F$2:$F$36,A284))</f>
        <v/>
      </c>
      <c r="G284" s="5" t="str">
        <f aca="false">IF(D284=0,"none seen",IF(E284=F284,TEXT(E284,"$#,##0.00"),TEXT(E284,"$#,##0.00")&amp;" – "&amp;TEXT(F284,"$#,##0.00")))</f>
        <v>none seen</v>
      </c>
      <c r="H284" s="5" t="s">
        <v>1610</v>
      </c>
      <c r="I284" s="5" t="s">
        <v>776</v>
      </c>
    </row>
    <row r="285" customFormat="false" ht="15" hidden="false" customHeight="false" outlineLevel="0" collapsed="false">
      <c r="A285" s="5" t="s">
        <v>1372</v>
      </c>
      <c r="B285" s="5"/>
      <c r="C285" s="5" t="n">
        <f aca="false">COUNTIF('Observed lines'!$F$2:$F$36,A285)</f>
        <v>0</v>
      </c>
      <c r="D285" s="5" t="n">
        <f aca="false">COUNTIFS('Observed lines'!$F$2:$F$36,A285,'Observed lines'!$G$2:$G$36,"&lt;&gt;")</f>
        <v>0</v>
      </c>
      <c r="E285" s="8" t="str">
        <f aca="false">IF(D285=0,"",_xlfn.MINIFS('Observed lines'!$G$2:$G$36,'Observed lines'!$F$2:$F$36,A285))</f>
        <v/>
      </c>
      <c r="F285" s="8" t="str">
        <f aca="false">IF(D285=0,"",_xlfn.MAXIFS('Observed lines'!$G$2:$G$36,'Observed lines'!$F$2:$F$36,A285))</f>
        <v/>
      </c>
      <c r="G285" s="5" t="str">
        <f aca="false">IF(D285=0,"none seen",IF(E285=F285,TEXT(E285,"$#,##0.00"),TEXT(E285,"$#,##0.00")&amp;" – "&amp;TEXT(F285,"$#,##0.00")))</f>
        <v>none seen</v>
      </c>
      <c r="H285" s="5" t="s">
        <v>1610</v>
      </c>
      <c r="I285" s="5" t="s">
        <v>776</v>
      </c>
    </row>
    <row r="286" customFormat="false" ht="15" hidden="false" customHeight="false" outlineLevel="0" collapsed="false">
      <c r="A286" s="5" t="s">
        <v>1373</v>
      </c>
      <c r="B286" s="5"/>
      <c r="C286" s="5" t="n">
        <f aca="false">COUNTIF('Observed lines'!$F$2:$F$36,A286)</f>
        <v>0</v>
      </c>
      <c r="D286" s="5" t="n">
        <f aca="false">COUNTIFS('Observed lines'!$F$2:$F$36,A286,'Observed lines'!$G$2:$G$36,"&lt;&gt;")</f>
        <v>0</v>
      </c>
      <c r="E286" s="8" t="str">
        <f aca="false">IF(D286=0,"",_xlfn.MINIFS('Observed lines'!$G$2:$G$36,'Observed lines'!$F$2:$F$36,A286))</f>
        <v/>
      </c>
      <c r="F286" s="8" t="str">
        <f aca="false">IF(D286=0,"",_xlfn.MAXIFS('Observed lines'!$G$2:$G$36,'Observed lines'!$F$2:$F$36,A286))</f>
        <v/>
      </c>
      <c r="G286" s="5" t="str">
        <f aca="false">IF(D286=0,"none seen",IF(E286=F286,TEXT(E286,"$#,##0.00"),TEXT(E286,"$#,##0.00")&amp;" – "&amp;TEXT(F286,"$#,##0.00")))</f>
        <v>none seen</v>
      </c>
      <c r="H286" s="5" t="s">
        <v>1610</v>
      </c>
      <c r="I286" s="5" t="s">
        <v>776</v>
      </c>
    </row>
    <row r="287" customFormat="false" ht="15" hidden="false" customHeight="false" outlineLevel="0" collapsed="false">
      <c r="A287" s="5" t="s">
        <v>1374</v>
      </c>
      <c r="B287" s="5"/>
      <c r="C287" s="5" t="n">
        <f aca="false">COUNTIF('Observed lines'!$F$2:$F$36,A287)</f>
        <v>0</v>
      </c>
      <c r="D287" s="5" t="n">
        <f aca="false">COUNTIFS('Observed lines'!$F$2:$F$36,A287,'Observed lines'!$G$2:$G$36,"&lt;&gt;")</f>
        <v>0</v>
      </c>
      <c r="E287" s="8" t="str">
        <f aca="false">IF(D287=0,"",_xlfn.MINIFS('Observed lines'!$G$2:$G$36,'Observed lines'!$F$2:$F$36,A287))</f>
        <v/>
      </c>
      <c r="F287" s="8" t="str">
        <f aca="false">IF(D287=0,"",_xlfn.MAXIFS('Observed lines'!$G$2:$G$36,'Observed lines'!$F$2:$F$36,A287))</f>
        <v/>
      </c>
      <c r="G287" s="5" t="str">
        <f aca="false">IF(D287=0,"none seen",IF(E287=F287,TEXT(E287,"$#,##0.00"),TEXT(E287,"$#,##0.00")&amp;" – "&amp;TEXT(F287,"$#,##0.00")))</f>
        <v>none seen</v>
      </c>
      <c r="H287" s="5" t="s">
        <v>1610</v>
      </c>
      <c r="I287" s="5" t="s">
        <v>776</v>
      </c>
    </row>
    <row r="288" customFormat="false" ht="15" hidden="false" customHeight="false" outlineLevel="0" collapsed="false">
      <c r="A288" s="5" t="s">
        <v>1375</v>
      </c>
      <c r="B288" s="5"/>
      <c r="C288" s="5" t="n">
        <f aca="false">COUNTIF('Observed lines'!$F$2:$F$36,A288)</f>
        <v>0</v>
      </c>
      <c r="D288" s="5" t="n">
        <f aca="false">COUNTIFS('Observed lines'!$F$2:$F$36,A288,'Observed lines'!$G$2:$G$36,"&lt;&gt;")</f>
        <v>0</v>
      </c>
      <c r="E288" s="8" t="str">
        <f aca="false">IF(D288=0,"",_xlfn.MINIFS('Observed lines'!$G$2:$G$36,'Observed lines'!$F$2:$F$36,A288))</f>
        <v/>
      </c>
      <c r="F288" s="8" t="str">
        <f aca="false">IF(D288=0,"",_xlfn.MAXIFS('Observed lines'!$G$2:$G$36,'Observed lines'!$F$2:$F$36,A288))</f>
        <v/>
      </c>
      <c r="G288" s="5" t="str">
        <f aca="false">IF(D288=0,"none seen",IF(E288=F288,TEXT(E288,"$#,##0.00"),TEXT(E288,"$#,##0.00")&amp;" – "&amp;TEXT(F288,"$#,##0.00")))</f>
        <v>none seen</v>
      </c>
      <c r="H288" s="5" t="s">
        <v>1610</v>
      </c>
      <c r="I288" s="5" t="s">
        <v>776</v>
      </c>
    </row>
    <row r="289" customFormat="false" ht="15" hidden="false" customHeight="false" outlineLevel="0" collapsed="false">
      <c r="A289" s="5" t="s">
        <v>1376</v>
      </c>
      <c r="B289" s="5"/>
      <c r="C289" s="5" t="n">
        <f aca="false">COUNTIF('Observed lines'!$F$2:$F$36,A289)</f>
        <v>0</v>
      </c>
      <c r="D289" s="5" t="n">
        <f aca="false">COUNTIFS('Observed lines'!$F$2:$F$36,A289,'Observed lines'!$G$2:$G$36,"&lt;&gt;")</f>
        <v>0</v>
      </c>
      <c r="E289" s="8" t="str">
        <f aca="false">IF(D289=0,"",_xlfn.MINIFS('Observed lines'!$G$2:$G$36,'Observed lines'!$F$2:$F$36,A289))</f>
        <v/>
      </c>
      <c r="F289" s="8" t="str">
        <f aca="false">IF(D289=0,"",_xlfn.MAXIFS('Observed lines'!$G$2:$G$36,'Observed lines'!$F$2:$F$36,A289))</f>
        <v/>
      </c>
      <c r="G289" s="5" t="str">
        <f aca="false">IF(D289=0,"none seen",IF(E289=F289,TEXT(E289,"$#,##0.00"),TEXT(E289,"$#,##0.00")&amp;" – "&amp;TEXT(F289,"$#,##0.00")))</f>
        <v>none seen</v>
      </c>
      <c r="H289" s="5" t="s">
        <v>1610</v>
      </c>
      <c r="I289" s="5" t="s">
        <v>776</v>
      </c>
    </row>
    <row r="290" customFormat="false" ht="15" hidden="false" customHeight="false" outlineLevel="0" collapsed="false">
      <c r="A290" s="5" t="s">
        <v>1377</v>
      </c>
      <c r="B290" s="5"/>
      <c r="C290" s="5" t="n">
        <f aca="false">COUNTIF('Observed lines'!$F$2:$F$36,A290)</f>
        <v>0</v>
      </c>
      <c r="D290" s="5" t="n">
        <f aca="false">COUNTIFS('Observed lines'!$F$2:$F$36,A290,'Observed lines'!$G$2:$G$36,"&lt;&gt;")</f>
        <v>0</v>
      </c>
      <c r="E290" s="8" t="str">
        <f aca="false">IF(D290=0,"",_xlfn.MINIFS('Observed lines'!$G$2:$G$36,'Observed lines'!$F$2:$F$36,A290))</f>
        <v/>
      </c>
      <c r="F290" s="8" t="str">
        <f aca="false">IF(D290=0,"",_xlfn.MAXIFS('Observed lines'!$G$2:$G$36,'Observed lines'!$F$2:$F$36,A290))</f>
        <v/>
      </c>
      <c r="G290" s="5" t="str">
        <f aca="false">IF(D290=0,"none seen",IF(E290=F290,TEXT(E290,"$#,##0.00"),TEXT(E290,"$#,##0.00")&amp;" – "&amp;TEXT(F290,"$#,##0.00")))</f>
        <v>none seen</v>
      </c>
      <c r="H290" s="5" t="s">
        <v>1610</v>
      </c>
      <c r="I290" s="5" t="s">
        <v>776</v>
      </c>
    </row>
    <row r="291" customFormat="false" ht="15" hidden="false" customHeight="false" outlineLevel="0" collapsed="false">
      <c r="A291" s="5" t="s">
        <v>1378</v>
      </c>
      <c r="B291" s="5"/>
      <c r="C291" s="5" t="n">
        <f aca="false">COUNTIF('Observed lines'!$F$2:$F$36,A291)</f>
        <v>0</v>
      </c>
      <c r="D291" s="5" t="n">
        <f aca="false">COUNTIFS('Observed lines'!$F$2:$F$36,A291,'Observed lines'!$G$2:$G$36,"&lt;&gt;")</f>
        <v>0</v>
      </c>
      <c r="E291" s="8" t="str">
        <f aca="false">IF(D291=0,"",_xlfn.MINIFS('Observed lines'!$G$2:$G$36,'Observed lines'!$F$2:$F$36,A291))</f>
        <v/>
      </c>
      <c r="F291" s="8" t="str">
        <f aca="false">IF(D291=0,"",_xlfn.MAXIFS('Observed lines'!$G$2:$G$36,'Observed lines'!$F$2:$F$36,A291))</f>
        <v/>
      </c>
      <c r="G291" s="5" t="str">
        <f aca="false">IF(D291=0,"none seen",IF(E291=F291,TEXT(E291,"$#,##0.00"),TEXT(E291,"$#,##0.00")&amp;" – "&amp;TEXT(F291,"$#,##0.00")))</f>
        <v>none seen</v>
      </c>
      <c r="H291" s="5" t="s">
        <v>1610</v>
      </c>
      <c r="I291" s="5" t="s">
        <v>776</v>
      </c>
    </row>
    <row r="292" customFormat="false" ht="15" hidden="false" customHeight="false" outlineLevel="0" collapsed="false">
      <c r="A292" s="5" t="s">
        <v>1379</v>
      </c>
      <c r="B292" s="5"/>
      <c r="C292" s="5" t="n">
        <f aca="false">COUNTIF('Observed lines'!$F$2:$F$36,A292)</f>
        <v>0</v>
      </c>
      <c r="D292" s="5" t="n">
        <f aca="false">COUNTIFS('Observed lines'!$F$2:$F$36,A292,'Observed lines'!$G$2:$G$36,"&lt;&gt;")</f>
        <v>0</v>
      </c>
      <c r="E292" s="8" t="str">
        <f aca="false">IF(D292=0,"",_xlfn.MINIFS('Observed lines'!$G$2:$G$36,'Observed lines'!$F$2:$F$36,A292))</f>
        <v/>
      </c>
      <c r="F292" s="8" t="str">
        <f aca="false">IF(D292=0,"",_xlfn.MAXIFS('Observed lines'!$G$2:$G$36,'Observed lines'!$F$2:$F$36,A292))</f>
        <v/>
      </c>
      <c r="G292" s="5" t="str">
        <f aca="false">IF(D292=0,"none seen",IF(E292=F292,TEXT(E292,"$#,##0.00"),TEXT(E292,"$#,##0.00")&amp;" – "&amp;TEXT(F292,"$#,##0.00")))</f>
        <v>none seen</v>
      </c>
      <c r="H292" s="5" t="s">
        <v>1610</v>
      </c>
      <c r="I292" s="5" t="s">
        <v>776</v>
      </c>
    </row>
    <row r="293" customFormat="false" ht="15" hidden="false" customHeight="false" outlineLevel="0" collapsed="false">
      <c r="A293" s="5" t="s">
        <v>1380</v>
      </c>
      <c r="B293" s="5"/>
      <c r="C293" s="5" t="n">
        <f aca="false">COUNTIF('Observed lines'!$F$2:$F$36,A293)</f>
        <v>0</v>
      </c>
      <c r="D293" s="5" t="n">
        <f aca="false">COUNTIFS('Observed lines'!$F$2:$F$36,A293,'Observed lines'!$G$2:$G$36,"&lt;&gt;")</f>
        <v>0</v>
      </c>
      <c r="E293" s="8" t="str">
        <f aca="false">IF(D293=0,"",_xlfn.MINIFS('Observed lines'!$G$2:$G$36,'Observed lines'!$F$2:$F$36,A293))</f>
        <v/>
      </c>
      <c r="F293" s="8" t="str">
        <f aca="false">IF(D293=0,"",_xlfn.MAXIFS('Observed lines'!$G$2:$G$36,'Observed lines'!$F$2:$F$36,A293))</f>
        <v/>
      </c>
      <c r="G293" s="5" t="str">
        <f aca="false">IF(D293=0,"none seen",IF(E293=F293,TEXT(E293,"$#,##0.00"),TEXT(E293,"$#,##0.00")&amp;" – "&amp;TEXT(F293,"$#,##0.00")))</f>
        <v>none seen</v>
      </c>
      <c r="H293" s="5" t="s">
        <v>1610</v>
      </c>
      <c r="I293" s="5" t="s">
        <v>776</v>
      </c>
    </row>
    <row r="294" customFormat="false" ht="15" hidden="false" customHeight="false" outlineLevel="0" collapsed="false">
      <c r="A294" s="5" t="s">
        <v>1381</v>
      </c>
      <c r="B294" s="5"/>
      <c r="C294" s="5" t="n">
        <f aca="false">COUNTIF('Observed lines'!$F$2:$F$36,A294)</f>
        <v>0</v>
      </c>
      <c r="D294" s="5" t="n">
        <f aca="false">COUNTIFS('Observed lines'!$F$2:$F$36,A294,'Observed lines'!$G$2:$G$36,"&lt;&gt;")</f>
        <v>0</v>
      </c>
      <c r="E294" s="8" t="str">
        <f aca="false">IF(D294=0,"",_xlfn.MINIFS('Observed lines'!$G$2:$G$36,'Observed lines'!$F$2:$F$36,A294))</f>
        <v/>
      </c>
      <c r="F294" s="8" t="str">
        <f aca="false">IF(D294=0,"",_xlfn.MAXIFS('Observed lines'!$G$2:$G$36,'Observed lines'!$F$2:$F$36,A294))</f>
        <v/>
      </c>
      <c r="G294" s="5" t="str">
        <f aca="false">IF(D294=0,"none seen",IF(E294=F294,TEXT(E294,"$#,##0.00"),TEXT(E294,"$#,##0.00")&amp;" – "&amp;TEXT(F294,"$#,##0.00")))</f>
        <v>none seen</v>
      </c>
      <c r="H294" s="5" t="s">
        <v>1610</v>
      </c>
      <c r="I294" s="5" t="s">
        <v>776</v>
      </c>
    </row>
    <row r="295" customFormat="false" ht="15" hidden="false" customHeight="false" outlineLevel="0" collapsed="false">
      <c r="A295" s="5" t="s">
        <v>1382</v>
      </c>
      <c r="B295" s="5"/>
      <c r="C295" s="5" t="n">
        <f aca="false">COUNTIF('Observed lines'!$F$2:$F$36,A295)</f>
        <v>0</v>
      </c>
      <c r="D295" s="5" t="n">
        <f aca="false">COUNTIFS('Observed lines'!$F$2:$F$36,A295,'Observed lines'!$G$2:$G$36,"&lt;&gt;")</f>
        <v>0</v>
      </c>
      <c r="E295" s="8" t="str">
        <f aca="false">IF(D295=0,"",_xlfn.MINIFS('Observed lines'!$G$2:$G$36,'Observed lines'!$F$2:$F$36,A295))</f>
        <v/>
      </c>
      <c r="F295" s="8" t="str">
        <f aca="false">IF(D295=0,"",_xlfn.MAXIFS('Observed lines'!$G$2:$G$36,'Observed lines'!$F$2:$F$36,A295))</f>
        <v/>
      </c>
      <c r="G295" s="5" t="str">
        <f aca="false">IF(D295=0,"none seen",IF(E295=F295,TEXT(E295,"$#,##0.00"),TEXT(E295,"$#,##0.00")&amp;" – "&amp;TEXT(F295,"$#,##0.00")))</f>
        <v>none seen</v>
      </c>
      <c r="H295" s="5" t="s">
        <v>1610</v>
      </c>
      <c r="I295" s="5" t="s">
        <v>776</v>
      </c>
    </row>
    <row r="296" customFormat="false" ht="15" hidden="false" customHeight="false" outlineLevel="0" collapsed="false">
      <c r="A296" s="5" t="s">
        <v>1383</v>
      </c>
      <c r="B296" s="5"/>
      <c r="C296" s="5" t="n">
        <f aca="false">COUNTIF('Observed lines'!$F$2:$F$36,A296)</f>
        <v>0</v>
      </c>
      <c r="D296" s="5" t="n">
        <f aca="false">COUNTIFS('Observed lines'!$F$2:$F$36,A296,'Observed lines'!$G$2:$G$36,"&lt;&gt;")</f>
        <v>0</v>
      </c>
      <c r="E296" s="8" t="str">
        <f aca="false">IF(D296=0,"",_xlfn.MINIFS('Observed lines'!$G$2:$G$36,'Observed lines'!$F$2:$F$36,A296))</f>
        <v/>
      </c>
      <c r="F296" s="8" t="str">
        <f aca="false">IF(D296=0,"",_xlfn.MAXIFS('Observed lines'!$G$2:$G$36,'Observed lines'!$F$2:$F$36,A296))</f>
        <v/>
      </c>
      <c r="G296" s="5" t="str">
        <f aca="false">IF(D296=0,"none seen",IF(E296=F296,TEXT(E296,"$#,##0.00"),TEXT(E296,"$#,##0.00")&amp;" – "&amp;TEXT(F296,"$#,##0.00")))</f>
        <v>none seen</v>
      </c>
      <c r="H296" s="5" t="s">
        <v>1610</v>
      </c>
      <c r="I296" s="5" t="s">
        <v>776</v>
      </c>
    </row>
    <row r="297" customFormat="false" ht="15" hidden="false" customHeight="false" outlineLevel="0" collapsed="false">
      <c r="A297" s="5" t="s">
        <v>1384</v>
      </c>
      <c r="B297" s="5"/>
      <c r="C297" s="5" t="n">
        <f aca="false">COUNTIF('Observed lines'!$F$2:$F$36,A297)</f>
        <v>0</v>
      </c>
      <c r="D297" s="5" t="n">
        <f aca="false">COUNTIFS('Observed lines'!$F$2:$F$36,A297,'Observed lines'!$G$2:$G$36,"&lt;&gt;")</f>
        <v>0</v>
      </c>
      <c r="E297" s="8" t="str">
        <f aca="false">IF(D297=0,"",_xlfn.MINIFS('Observed lines'!$G$2:$G$36,'Observed lines'!$F$2:$F$36,A297))</f>
        <v/>
      </c>
      <c r="F297" s="8" t="str">
        <f aca="false">IF(D297=0,"",_xlfn.MAXIFS('Observed lines'!$G$2:$G$36,'Observed lines'!$F$2:$F$36,A297))</f>
        <v/>
      </c>
      <c r="G297" s="5" t="str">
        <f aca="false">IF(D297=0,"none seen",IF(E297=F297,TEXT(E297,"$#,##0.00"),TEXT(E297,"$#,##0.00")&amp;" – "&amp;TEXT(F297,"$#,##0.00")))</f>
        <v>none seen</v>
      </c>
      <c r="H297" s="5" t="s">
        <v>1610</v>
      </c>
      <c r="I297" s="5" t="s">
        <v>776</v>
      </c>
    </row>
    <row r="298" customFormat="false" ht="15" hidden="false" customHeight="false" outlineLevel="0" collapsed="false">
      <c r="A298" s="5" t="s">
        <v>1385</v>
      </c>
      <c r="B298" s="5"/>
      <c r="C298" s="5" t="n">
        <f aca="false">COUNTIF('Observed lines'!$F$2:$F$36,A298)</f>
        <v>0</v>
      </c>
      <c r="D298" s="5" t="n">
        <f aca="false">COUNTIFS('Observed lines'!$F$2:$F$36,A298,'Observed lines'!$G$2:$G$36,"&lt;&gt;")</f>
        <v>0</v>
      </c>
      <c r="E298" s="8" t="str">
        <f aca="false">IF(D298=0,"",_xlfn.MINIFS('Observed lines'!$G$2:$G$36,'Observed lines'!$F$2:$F$36,A298))</f>
        <v/>
      </c>
      <c r="F298" s="8" t="str">
        <f aca="false">IF(D298=0,"",_xlfn.MAXIFS('Observed lines'!$G$2:$G$36,'Observed lines'!$F$2:$F$36,A298))</f>
        <v/>
      </c>
      <c r="G298" s="5" t="str">
        <f aca="false">IF(D298=0,"none seen",IF(E298=F298,TEXT(E298,"$#,##0.00"),TEXT(E298,"$#,##0.00")&amp;" – "&amp;TEXT(F298,"$#,##0.00")))</f>
        <v>none seen</v>
      </c>
      <c r="H298" s="5" t="s">
        <v>1610</v>
      </c>
      <c r="I298" s="5" t="s">
        <v>776</v>
      </c>
    </row>
    <row r="299" customFormat="false" ht="15" hidden="false" customHeight="false" outlineLevel="0" collapsed="false">
      <c r="A299" s="5" t="s">
        <v>1386</v>
      </c>
      <c r="B299" s="5"/>
      <c r="C299" s="5" t="n">
        <f aca="false">COUNTIF('Observed lines'!$F$2:$F$36,A299)</f>
        <v>0</v>
      </c>
      <c r="D299" s="5" t="n">
        <f aca="false">COUNTIFS('Observed lines'!$F$2:$F$36,A299,'Observed lines'!$G$2:$G$36,"&lt;&gt;")</f>
        <v>0</v>
      </c>
      <c r="E299" s="8" t="str">
        <f aca="false">IF(D299=0,"",_xlfn.MINIFS('Observed lines'!$G$2:$G$36,'Observed lines'!$F$2:$F$36,A299))</f>
        <v/>
      </c>
      <c r="F299" s="8" t="str">
        <f aca="false">IF(D299=0,"",_xlfn.MAXIFS('Observed lines'!$G$2:$G$36,'Observed lines'!$F$2:$F$36,A299))</f>
        <v/>
      </c>
      <c r="G299" s="5" t="str">
        <f aca="false">IF(D299=0,"none seen",IF(E299=F299,TEXT(E299,"$#,##0.00"),TEXT(E299,"$#,##0.00")&amp;" – "&amp;TEXT(F299,"$#,##0.00")))</f>
        <v>none seen</v>
      </c>
      <c r="H299" s="5" t="s">
        <v>1610</v>
      </c>
      <c r="I299" s="5" t="s">
        <v>776</v>
      </c>
    </row>
    <row r="300" customFormat="false" ht="15" hidden="false" customHeight="false" outlineLevel="0" collapsed="false">
      <c r="A300" s="5" t="s">
        <v>1387</v>
      </c>
      <c r="B300" s="5"/>
      <c r="C300" s="5" t="n">
        <f aca="false">COUNTIF('Observed lines'!$F$2:$F$36,A300)</f>
        <v>0</v>
      </c>
      <c r="D300" s="5" t="n">
        <f aca="false">COUNTIFS('Observed lines'!$F$2:$F$36,A300,'Observed lines'!$G$2:$G$36,"&lt;&gt;")</f>
        <v>0</v>
      </c>
      <c r="E300" s="8" t="str">
        <f aca="false">IF(D300=0,"",_xlfn.MINIFS('Observed lines'!$G$2:$G$36,'Observed lines'!$F$2:$F$36,A300))</f>
        <v/>
      </c>
      <c r="F300" s="8" t="str">
        <f aca="false">IF(D300=0,"",_xlfn.MAXIFS('Observed lines'!$G$2:$G$36,'Observed lines'!$F$2:$F$36,A300))</f>
        <v/>
      </c>
      <c r="G300" s="5" t="str">
        <f aca="false">IF(D300=0,"none seen",IF(E300=F300,TEXT(E300,"$#,##0.00"),TEXT(E300,"$#,##0.00")&amp;" – "&amp;TEXT(F300,"$#,##0.00")))</f>
        <v>none seen</v>
      </c>
      <c r="H300" s="5" t="s">
        <v>1610</v>
      </c>
      <c r="I300" s="5" t="s">
        <v>776</v>
      </c>
    </row>
    <row r="301" customFormat="false" ht="15" hidden="false" customHeight="false" outlineLevel="0" collapsed="false">
      <c r="A301" s="5" t="s">
        <v>1388</v>
      </c>
      <c r="B301" s="5"/>
      <c r="C301" s="5" t="n">
        <f aca="false">COUNTIF('Observed lines'!$F$2:$F$36,A301)</f>
        <v>0</v>
      </c>
      <c r="D301" s="5" t="n">
        <f aca="false">COUNTIFS('Observed lines'!$F$2:$F$36,A301,'Observed lines'!$G$2:$G$36,"&lt;&gt;")</f>
        <v>0</v>
      </c>
      <c r="E301" s="8" t="str">
        <f aca="false">IF(D301=0,"",_xlfn.MINIFS('Observed lines'!$G$2:$G$36,'Observed lines'!$F$2:$F$36,A301))</f>
        <v/>
      </c>
      <c r="F301" s="8" t="str">
        <f aca="false">IF(D301=0,"",_xlfn.MAXIFS('Observed lines'!$G$2:$G$36,'Observed lines'!$F$2:$F$36,A301))</f>
        <v/>
      </c>
      <c r="G301" s="5" t="str">
        <f aca="false">IF(D301=0,"none seen",IF(E301=F301,TEXT(E301,"$#,##0.00"),TEXT(E301,"$#,##0.00")&amp;" – "&amp;TEXT(F301,"$#,##0.00")))</f>
        <v>none seen</v>
      </c>
      <c r="H301" s="5" t="s">
        <v>1610</v>
      </c>
      <c r="I301" s="5" t="s">
        <v>776</v>
      </c>
    </row>
    <row r="302" customFormat="false" ht="15" hidden="false" customHeight="false" outlineLevel="0" collapsed="false">
      <c r="A302" s="5" t="s">
        <v>1389</v>
      </c>
      <c r="B302" s="5"/>
      <c r="C302" s="5" t="n">
        <f aca="false">COUNTIF('Observed lines'!$F$2:$F$36,A302)</f>
        <v>0</v>
      </c>
      <c r="D302" s="5" t="n">
        <f aca="false">COUNTIFS('Observed lines'!$F$2:$F$36,A302,'Observed lines'!$G$2:$G$36,"&lt;&gt;")</f>
        <v>0</v>
      </c>
      <c r="E302" s="8" t="str">
        <f aca="false">IF(D302=0,"",_xlfn.MINIFS('Observed lines'!$G$2:$G$36,'Observed lines'!$F$2:$F$36,A302))</f>
        <v/>
      </c>
      <c r="F302" s="8" t="str">
        <f aca="false">IF(D302=0,"",_xlfn.MAXIFS('Observed lines'!$G$2:$G$36,'Observed lines'!$F$2:$F$36,A302))</f>
        <v/>
      </c>
      <c r="G302" s="5" t="str">
        <f aca="false">IF(D302=0,"none seen",IF(E302=F302,TEXT(E302,"$#,##0.00"),TEXT(E302,"$#,##0.00")&amp;" – "&amp;TEXT(F302,"$#,##0.00")))</f>
        <v>none seen</v>
      </c>
      <c r="H302" s="5" t="s">
        <v>1610</v>
      </c>
      <c r="I302" s="5" t="s">
        <v>776</v>
      </c>
    </row>
    <row r="303" customFormat="false" ht="15" hidden="false" customHeight="false" outlineLevel="0" collapsed="false">
      <c r="A303" s="5" t="s">
        <v>1390</v>
      </c>
      <c r="B303" s="5"/>
      <c r="C303" s="5" t="n">
        <f aca="false">COUNTIF('Observed lines'!$F$2:$F$36,A303)</f>
        <v>0</v>
      </c>
      <c r="D303" s="5" t="n">
        <f aca="false">COUNTIFS('Observed lines'!$F$2:$F$36,A303,'Observed lines'!$G$2:$G$36,"&lt;&gt;")</f>
        <v>0</v>
      </c>
      <c r="E303" s="8" t="str">
        <f aca="false">IF(D303=0,"",_xlfn.MINIFS('Observed lines'!$G$2:$G$36,'Observed lines'!$F$2:$F$36,A303))</f>
        <v/>
      </c>
      <c r="F303" s="8" t="str">
        <f aca="false">IF(D303=0,"",_xlfn.MAXIFS('Observed lines'!$G$2:$G$36,'Observed lines'!$F$2:$F$36,A303))</f>
        <v/>
      </c>
      <c r="G303" s="5" t="str">
        <f aca="false">IF(D303=0,"none seen",IF(E303=F303,TEXT(E303,"$#,##0.00"),TEXT(E303,"$#,##0.00")&amp;" – "&amp;TEXT(F303,"$#,##0.00")))</f>
        <v>none seen</v>
      </c>
      <c r="H303" s="5" t="s">
        <v>1610</v>
      </c>
      <c r="I303" s="5" t="s">
        <v>776</v>
      </c>
    </row>
    <row r="304" customFormat="false" ht="15" hidden="false" customHeight="false" outlineLevel="0" collapsed="false">
      <c r="A304" s="5" t="s">
        <v>1391</v>
      </c>
      <c r="B304" s="5"/>
      <c r="C304" s="5" t="n">
        <f aca="false">COUNTIF('Observed lines'!$F$2:$F$36,A304)</f>
        <v>0</v>
      </c>
      <c r="D304" s="5" t="n">
        <f aca="false">COUNTIFS('Observed lines'!$F$2:$F$36,A304,'Observed lines'!$G$2:$G$36,"&lt;&gt;")</f>
        <v>0</v>
      </c>
      <c r="E304" s="8" t="str">
        <f aca="false">IF(D304=0,"",_xlfn.MINIFS('Observed lines'!$G$2:$G$36,'Observed lines'!$F$2:$F$36,A304))</f>
        <v/>
      </c>
      <c r="F304" s="8" t="str">
        <f aca="false">IF(D304=0,"",_xlfn.MAXIFS('Observed lines'!$G$2:$G$36,'Observed lines'!$F$2:$F$36,A304))</f>
        <v/>
      </c>
      <c r="G304" s="5" t="str">
        <f aca="false">IF(D304=0,"none seen",IF(E304=F304,TEXT(E304,"$#,##0.00"),TEXT(E304,"$#,##0.00")&amp;" – "&amp;TEXT(F304,"$#,##0.00")))</f>
        <v>none seen</v>
      </c>
      <c r="H304" s="5" t="s">
        <v>1610</v>
      </c>
      <c r="I304" s="5" t="s">
        <v>776</v>
      </c>
    </row>
    <row r="305" customFormat="false" ht="15" hidden="false" customHeight="false" outlineLevel="0" collapsed="false">
      <c r="A305" s="5" t="s">
        <v>1392</v>
      </c>
      <c r="B305" s="5"/>
      <c r="C305" s="5" t="n">
        <f aca="false">COUNTIF('Observed lines'!$F$2:$F$36,A305)</f>
        <v>0</v>
      </c>
      <c r="D305" s="5" t="n">
        <f aca="false">COUNTIFS('Observed lines'!$F$2:$F$36,A305,'Observed lines'!$G$2:$G$36,"&lt;&gt;")</f>
        <v>0</v>
      </c>
      <c r="E305" s="8" t="str">
        <f aca="false">IF(D305=0,"",_xlfn.MINIFS('Observed lines'!$G$2:$G$36,'Observed lines'!$F$2:$F$36,A305))</f>
        <v/>
      </c>
      <c r="F305" s="8" t="str">
        <f aca="false">IF(D305=0,"",_xlfn.MAXIFS('Observed lines'!$G$2:$G$36,'Observed lines'!$F$2:$F$36,A305))</f>
        <v/>
      </c>
      <c r="G305" s="5" t="str">
        <f aca="false">IF(D305=0,"none seen",IF(E305=F305,TEXT(E305,"$#,##0.00"),TEXT(E305,"$#,##0.00")&amp;" – "&amp;TEXT(F305,"$#,##0.00")))</f>
        <v>none seen</v>
      </c>
      <c r="H305" s="5" t="s">
        <v>1610</v>
      </c>
      <c r="I305" s="5" t="s">
        <v>776</v>
      </c>
    </row>
    <row r="306" customFormat="false" ht="15" hidden="false" customHeight="false" outlineLevel="0" collapsed="false">
      <c r="A306" s="5" t="s">
        <v>1393</v>
      </c>
      <c r="B306" s="5"/>
      <c r="C306" s="5" t="n">
        <f aca="false">COUNTIF('Observed lines'!$F$2:$F$36,A306)</f>
        <v>0</v>
      </c>
      <c r="D306" s="5" t="n">
        <f aca="false">COUNTIFS('Observed lines'!$F$2:$F$36,A306,'Observed lines'!$G$2:$G$36,"&lt;&gt;")</f>
        <v>0</v>
      </c>
      <c r="E306" s="8" t="str">
        <f aca="false">IF(D306=0,"",_xlfn.MINIFS('Observed lines'!$G$2:$G$36,'Observed lines'!$F$2:$F$36,A306))</f>
        <v/>
      </c>
      <c r="F306" s="8" t="str">
        <f aca="false">IF(D306=0,"",_xlfn.MAXIFS('Observed lines'!$G$2:$G$36,'Observed lines'!$F$2:$F$36,A306))</f>
        <v/>
      </c>
      <c r="G306" s="5" t="str">
        <f aca="false">IF(D306=0,"none seen",IF(E306=F306,TEXT(E306,"$#,##0.00"),TEXT(E306,"$#,##0.00")&amp;" – "&amp;TEXT(F306,"$#,##0.00")))</f>
        <v>none seen</v>
      </c>
      <c r="H306" s="5" t="s">
        <v>1610</v>
      </c>
      <c r="I306" s="5" t="s">
        <v>776</v>
      </c>
    </row>
    <row r="307" customFormat="false" ht="15" hidden="false" customHeight="false" outlineLevel="0" collapsed="false">
      <c r="A307" s="5" t="s">
        <v>1394</v>
      </c>
      <c r="B307" s="5"/>
      <c r="C307" s="5" t="n">
        <f aca="false">COUNTIF('Observed lines'!$F$2:$F$36,A307)</f>
        <v>0</v>
      </c>
      <c r="D307" s="5" t="n">
        <f aca="false">COUNTIFS('Observed lines'!$F$2:$F$36,A307,'Observed lines'!$G$2:$G$36,"&lt;&gt;")</f>
        <v>0</v>
      </c>
      <c r="E307" s="8" t="str">
        <f aca="false">IF(D307=0,"",_xlfn.MINIFS('Observed lines'!$G$2:$G$36,'Observed lines'!$F$2:$F$36,A307))</f>
        <v/>
      </c>
      <c r="F307" s="8" t="str">
        <f aca="false">IF(D307=0,"",_xlfn.MAXIFS('Observed lines'!$G$2:$G$36,'Observed lines'!$F$2:$F$36,A307))</f>
        <v/>
      </c>
      <c r="G307" s="5" t="str">
        <f aca="false">IF(D307=0,"none seen",IF(E307=F307,TEXT(E307,"$#,##0.00"),TEXT(E307,"$#,##0.00")&amp;" – "&amp;TEXT(F307,"$#,##0.00")))</f>
        <v>none seen</v>
      </c>
      <c r="H307" s="5" t="s">
        <v>1610</v>
      </c>
      <c r="I307" s="5" t="s">
        <v>776</v>
      </c>
    </row>
    <row r="308" customFormat="false" ht="15" hidden="false" customHeight="false" outlineLevel="0" collapsed="false">
      <c r="A308" s="5" t="s">
        <v>1395</v>
      </c>
      <c r="B308" s="5"/>
      <c r="C308" s="5" t="n">
        <f aca="false">COUNTIF('Observed lines'!$F$2:$F$36,A308)</f>
        <v>0</v>
      </c>
      <c r="D308" s="5" t="n">
        <f aca="false">COUNTIFS('Observed lines'!$F$2:$F$36,A308,'Observed lines'!$G$2:$G$36,"&lt;&gt;")</f>
        <v>0</v>
      </c>
      <c r="E308" s="8" t="str">
        <f aca="false">IF(D308=0,"",_xlfn.MINIFS('Observed lines'!$G$2:$G$36,'Observed lines'!$F$2:$F$36,A308))</f>
        <v/>
      </c>
      <c r="F308" s="8" t="str">
        <f aca="false">IF(D308=0,"",_xlfn.MAXIFS('Observed lines'!$G$2:$G$36,'Observed lines'!$F$2:$F$36,A308))</f>
        <v/>
      </c>
      <c r="G308" s="5" t="str">
        <f aca="false">IF(D308=0,"none seen",IF(E308=F308,TEXT(E308,"$#,##0.00"),TEXT(E308,"$#,##0.00")&amp;" – "&amp;TEXT(F308,"$#,##0.00")))</f>
        <v>none seen</v>
      </c>
      <c r="H308" s="5" t="s">
        <v>1610</v>
      </c>
      <c r="I308" s="5" t="s">
        <v>776</v>
      </c>
    </row>
    <row r="309" customFormat="false" ht="15" hidden="false" customHeight="false" outlineLevel="0" collapsed="false">
      <c r="A309" s="5" t="s">
        <v>1396</v>
      </c>
      <c r="B309" s="5"/>
      <c r="C309" s="5" t="n">
        <f aca="false">COUNTIF('Observed lines'!$F$2:$F$36,A309)</f>
        <v>0</v>
      </c>
      <c r="D309" s="5" t="n">
        <f aca="false">COUNTIFS('Observed lines'!$F$2:$F$36,A309,'Observed lines'!$G$2:$G$36,"&lt;&gt;")</f>
        <v>0</v>
      </c>
      <c r="E309" s="8" t="str">
        <f aca="false">IF(D309=0,"",_xlfn.MINIFS('Observed lines'!$G$2:$G$36,'Observed lines'!$F$2:$F$36,A309))</f>
        <v/>
      </c>
      <c r="F309" s="8" t="str">
        <f aca="false">IF(D309=0,"",_xlfn.MAXIFS('Observed lines'!$G$2:$G$36,'Observed lines'!$F$2:$F$36,A309))</f>
        <v/>
      </c>
      <c r="G309" s="5" t="str">
        <f aca="false">IF(D309=0,"none seen",IF(E309=F309,TEXT(E309,"$#,##0.00"),TEXT(E309,"$#,##0.00")&amp;" – "&amp;TEXT(F309,"$#,##0.00")))</f>
        <v>none seen</v>
      </c>
      <c r="H309" s="5" t="s">
        <v>1610</v>
      </c>
      <c r="I309" s="5" t="s">
        <v>776</v>
      </c>
    </row>
    <row r="310" customFormat="false" ht="15" hidden="false" customHeight="false" outlineLevel="0" collapsed="false">
      <c r="A310" s="5" t="s">
        <v>1397</v>
      </c>
      <c r="B310" s="5"/>
      <c r="C310" s="5" t="n">
        <f aca="false">COUNTIF('Observed lines'!$F$2:$F$36,A310)</f>
        <v>0</v>
      </c>
      <c r="D310" s="5" t="n">
        <f aca="false">COUNTIFS('Observed lines'!$F$2:$F$36,A310,'Observed lines'!$G$2:$G$36,"&lt;&gt;")</f>
        <v>0</v>
      </c>
      <c r="E310" s="8" t="str">
        <f aca="false">IF(D310=0,"",_xlfn.MINIFS('Observed lines'!$G$2:$G$36,'Observed lines'!$F$2:$F$36,A310))</f>
        <v/>
      </c>
      <c r="F310" s="8" t="str">
        <f aca="false">IF(D310=0,"",_xlfn.MAXIFS('Observed lines'!$G$2:$G$36,'Observed lines'!$F$2:$F$36,A310))</f>
        <v/>
      </c>
      <c r="G310" s="5" t="str">
        <f aca="false">IF(D310=0,"none seen",IF(E310=F310,TEXT(E310,"$#,##0.00"),TEXT(E310,"$#,##0.00")&amp;" – "&amp;TEXT(F310,"$#,##0.00")))</f>
        <v>none seen</v>
      </c>
      <c r="H310" s="5" t="s">
        <v>1610</v>
      </c>
      <c r="I310" s="5" t="s">
        <v>776</v>
      </c>
    </row>
    <row r="311" customFormat="false" ht="15" hidden="false" customHeight="false" outlineLevel="0" collapsed="false">
      <c r="A311" s="5" t="s">
        <v>1398</v>
      </c>
      <c r="B311" s="5"/>
      <c r="C311" s="5" t="n">
        <f aca="false">COUNTIF('Observed lines'!$F$2:$F$36,A311)</f>
        <v>0</v>
      </c>
      <c r="D311" s="5" t="n">
        <f aca="false">COUNTIFS('Observed lines'!$F$2:$F$36,A311,'Observed lines'!$G$2:$G$36,"&lt;&gt;")</f>
        <v>0</v>
      </c>
      <c r="E311" s="8" t="str">
        <f aca="false">IF(D311=0,"",_xlfn.MINIFS('Observed lines'!$G$2:$G$36,'Observed lines'!$F$2:$F$36,A311))</f>
        <v/>
      </c>
      <c r="F311" s="8" t="str">
        <f aca="false">IF(D311=0,"",_xlfn.MAXIFS('Observed lines'!$G$2:$G$36,'Observed lines'!$F$2:$F$36,A311))</f>
        <v/>
      </c>
      <c r="G311" s="5" t="str">
        <f aca="false">IF(D311=0,"none seen",IF(E311=F311,TEXT(E311,"$#,##0.00"),TEXT(E311,"$#,##0.00")&amp;" – "&amp;TEXT(F311,"$#,##0.00")))</f>
        <v>none seen</v>
      </c>
      <c r="H311" s="5" t="s">
        <v>1610</v>
      </c>
      <c r="I311" s="5" t="s">
        <v>776</v>
      </c>
    </row>
    <row r="312" customFormat="false" ht="15" hidden="false" customHeight="false" outlineLevel="0" collapsed="false">
      <c r="A312" s="5" t="s">
        <v>1399</v>
      </c>
      <c r="B312" s="5"/>
      <c r="C312" s="5" t="n">
        <f aca="false">COUNTIF('Observed lines'!$F$2:$F$36,A312)</f>
        <v>0</v>
      </c>
      <c r="D312" s="5" t="n">
        <f aca="false">COUNTIFS('Observed lines'!$F$2:$F$36,A312,'Observed lines'!$G$2:$G$36,"&lt;&gt;")</f>
        <v>0</v>
      </c>
      <c r="E312" s="8" t="str">
        <f aca="false">IF(D312=0,"",_xlfn.MINIFS('Observed lines'!$G$2:$G$36,'Observed lines'!$F$2:$F$36,A312))</f>
        <v/>
      </c>
      <c r="F312" s="8" t="str">
        <f aca="false">IF(D312=0,"",_xlfn.MAXIFS('Observed lines'!$G$2:$G$36,'Observed lines'!$F$2:$F$36,A312))</f>
        <v/>
      </c>
      <c r="G312" s="5" t="str">
        <f aca="false">IF(D312=0,"none seen",IF(E312=F312,TEXT(E312,"$#,##0.00"),TEXT(E312,"$#,##0.00")&amp;" – "&amp;TEXT(F312,"$#,##0.00")))</f>
        <v>none seen</v>
      </c>
      <c r="H312" s="5" t="s">
        <v>1610</v>
      </c>
      <c r="I312" s="5" t="s">
        <v>776</v>
      </c>
    </row>
    <row r="313" customFormat="false" ht="15" hidden="false" customHeight="false" outlineLevel="0" collapsed="false">
      <c r="A313" s="5" t="s">
        <v>1400</v>
      </c>
      <c r="B313" s="5"/>
      <c r="C313" s="5" t="n">
        <f aca="false">COUNTIF('Observed lines'!$F$2:$F$36,A313)</f>
        <v>0</v>
      </c>
      <c r="D313" s="5" t="n">
        <f aca="false">COUNTIFS('Observed lines'!$F$2:$F$36,A313,'Observed lines'!$G$2:$G$36,"&lt;&gt;")</f>
        <v>0</v>
      </c>
      <c r="E313" s="8" t="str">
        <f aca="false">IF(D313=0,"",_xlfn.MINIFS('Observed lines'!$G$2:$G$36,'Observed lines'!$F$2:$F$36,A313))</f>
        <v/>
      </c>
      <c r="F313" s="8" t="str">
        <f aca="false">IF(D313=0,"",_xlfn.MAXIFS('Observed lines'!$G$2:$G$36,'Observed lines'!$F$2:$F$36,A313))</f>
        <v/>
      </c>
      <c r="G313" s="5" t="str">
        <f aca="false">IF(D313=0,"none seen",IF(E313=F313,TEXT(E313,"$#,##0.00"),TEXT(E313,"$#,##0.00")&amp;" – "&amp;TEXT(F313,"$#,##0.00")))</f>
        <v>none seen</v>
      </c>
      <c r="H313" s="5" t="s">
        <v>1610</v>
      </c>
      <c r="I313" s="5" t="s">
        <v>776</v>
      </c>
    </row>
    <row r="314" customFormat="false" ht="15" hidden="false" customHeight="false" outlineLevel="0" collapsed="false">
      <c r="A314" s="5" t="s">
        <v>1401</v>
      </c>
      <c r="B314" s="5"/>
      <c r="C314" s="5" t="n">
        <f aca="false">COUNTIF('Observed lines'!$F$2:$F$36,A314)</f>
        <v>0</v>
      </c>
      <c r="D314" s="5" t="n">
        <f aca="false">COUNTIFS('Observed lines'!$F$2:$F$36,A314,'Observed lines'!$G$2:$G$36,"&lt;&gt;")</f>
        <v>0</v>
      </c>
      <c r="E314" s="8" t="str">
        <f aca="false">IF(D314=0,"",_xlfn.MINIFS('Observed lines'!$G$2:$G$36,'Observed lines'!$F$2:$F$36,A314))</f>
        <v/>
      </c>
      <c r="F314" s="8" t="str">
        <f aca="false">IF(D314=0,"",_xlfn.MAXIFS('Observed lines'!$G$2:$G$36,'Observed lines'!$F$2:$F$36,A314))</f>
        <v/>
      </c>
      <c r="G314" s="5" t="str">
        <f aca="false">IF(D314=0,"none seen",IF(E314=F314,TEXT(E314,"$#,##0.00"),TEXT(E314,"$#,##0.00")&amp;" – "&amp;TEXT(F314,"$#,##0.00")))</f>
        <v>none seen</v>
      </c>
      <c r="H314" s="5" t="s">
        <v>1610</v>
      </c>
      <c r="I314" s="5" t="s">
        <v>776</v>
      </c>
    </row>
    <row r="315" customFormat="false" ht="15" hidden="false" customHeight="false" outlineLevel="0" collapsed="false">
      <c r="A315" s="5" t="s">
        <v>1402</v>
      </c>
      <c r="B315" s="5"/>
      <c r="C315" s="5" t="n">
        <f aca="false">COUNTIF('Observed lines'!$F$2:$F$36,A315)</f>
        <v>0</v>
      </c>
      <c r="D315" s="5" t="n">
        <f aca="false">COUNTIFS('Observed lines'!$F$2:$F$36,A315,'Observed lines'!$G$2:$G$36,"&lt;&gt;")</f>
        <v>0</v>
      </c>
      <c r="E315" s="8" t="str">
        <f aca="false">IF(D315=0,"",_xlfn.MINIFS('Observed lines'!$G$2:$G$36,'Observed lines'!$F$2:$F$36,A315))</f>
        <v/>
      </c>
      <c r="F315" s="8" t="str">
        <f aca="false">IF(D315=0,"",_xlfn.MAXIFS('Observed lines'!$G$2:$G$36,'Observed lines'!$F$2:$F$36,A315))</f>
        <v/>
      </c>
      <c r="G315" s="5" t="str">
        <f aca="false">IF(D315=0,"none seen",IF(E315=F315,TEXT(E315,"$#,##0.00"),TEXT(E315,"$#,##0.00")&amp;" – "&amp;TEXT(F315,"$#,##0.00")))</f>
        <v>none seen</v>
      </c>
      <c r="H315" s="5" t="s">
        <v>1610</v>
      </c>
      <c r="I315" s="5" t="s">
        <v>776</v>
      </c>
    </row>
    <row r="316" customFormat="false" ht="15" hidden="false" customHeight="false" outlineLevel="0" collapsed="false">
      <c r="A316" s="5" t="s">
        <v>1403</v>
      </c>
      <c r="B316" s="5"/>
      <c r="C316" s="5" t="n">
        <f aca="false">COUNTIF('Observed lines'!$F$2:$F$36,A316)</f>
        <v>0</v>
      </c>
      <c r="D316" s="5" t="n">
        <f aca="false">COUNTIFS('Observed lines'!$F$2:$F$36,A316,'Observed lines'!$G$2:$G$36,"&lt;&gt;")</f>
        <v>0</v>
      </c>
      <c r="E316" s="8" t="str">
        <f aca="false">IF(D316=0,"",_xlfn.MINIFS('Observed lines'!$G$2:$G$36,'Observed lines'!$F$2:$F$36,A316))</f>
        <v/>
      </c>
      <c r="F316" s="8" t="str">
        <f aca="false">IF(D316=0,"",_xlfn.MAXIFS('Observed lines'!$G$2:$G$36,'Observed lines'!$F$2:$F$36,A316))</f>
        <v/>
      </c>
      <c r="G316" s="5" t="str">
        <f aca="false">IF(D316=0,"none seen",IF(E316=F316,TEXT(E316,"$#,##0.00"),TEXT(E316,"$#,##0.00")&amp;" – "&amp;TEXT(F316,"$#,##0.00")))</f>
        <v>none seen</v>
      </c>
      <c r="H316" s="5" t="s">
        <v>1610</v>
      </c>
      <c r="I316" s="5" t="s">
        <v>776</v>
      </c>
    </row>
    <row r="317" customFormat="false" ht="15" hidden="false" customHeight="false" outlineLevel="0" collapsed="false">
      <c r="A317" s="5" t="s">
        <v>1404</v>
      </c>
      <c r="B317" s="5"/>
      <c r="C317" s="5" t="n">
        <f aca="false">COUNTIF('Observed lines'!$F$2:$F$36,A317)</f>
        <v>0</v>
      </c>
      <c r="D317" s="5" t="n">
        <f aca="false">COUNTIFS('Observed lines'!$F$2:$F$36,A317,'Observed lines'!$G$2:$G$36,"&lt;&gt;")</f>
        <v>0</v>
      </c>
      <c r="E317" s="8" t="str">
        <f aca="false">IF(D317=0,"",_xlfn.MINIFS('Observed lines'!$G$2:$G$36,'Observed lines'!$F$2:$F$36,A317))</f>
        <v/>
      </c>
      <c r="F317" s="8" t="str">
        <f aca="false">IF(D317=0,"",_xlfn.MAXIFS('Observed lines'!$G$2:$G$36,'Observed lines'!$F$2:$F$36,A317))</f>
        <v/>
      </c>
      <c r="G317" s="5" t="str">
        <f aca="false">IF(D317=0,"none seen",IF(E317=F317,TEXT(E317,"$#,##0.00"),TEXT(E317,"$#,##0.00")&amp;" – "&amp;TEXT(F317,"$#,##0.00")))</f>
        <v>none seen</v>
      </c>
      <c r="H317" s="5" t="s">
        <v>1610</v>
      </c>
      <c r="I317" s="5" t="s">
        <v>776</v>
      </c>
    </row>
    <row r="318" customFormat="false" ht="15" hidden="false" customHeight="false" outlineLevel="0" collapsed="false">
      <c r="A318" s="5" t="s">
        <v>1405</v>
      </c>
      <c r="B318" s="5"/>
      <c r="C318" s="5" t="n">
        <f aca="false">COUNTIF('Observed lines'!$F$2:$F$36,A318)</f>
        <v>0</v>
      </c>
      <c r="D318" s="5" t="n">
        <f aca="false">COUNTIFS('Observed lines'!$F$2:$F$36,A318,'Observed lines'!$G$2:$G$36,"&lt;&gt;")</f>
        <v>0</v>
      </c>
      <c r="E318" s="8" t="str">
        <f aca="false">IF(D318=0,"",_xlfn.MINIFS('Observed lines'!$G$2:$G$36,'Observed lines'!$F$2:$F$36,A318))</f>
        <v/>
      </c>
      <c r="F318" s="8" t="str">
        <f aca="false">IF(D318=0,"",_xlfn.MAXIFS('Observed lines'!$G$2:$G$36,'Observed lines'!$F$2:$F$36,A318))</f>
        <v/>
      </c>
      <c r="G318" s="5" t="str">
        <f aca="false">IF(D318=0,"none seen",IF(E318=F318,TEXT(E318,"$#,##0.00"),TEXT(E318,"$#,##0.00")&amp;" – "&amp;TEXT(F318,"$#,##0.00")))</f>
        <v>none seen</v>
      </c>
      <c r="H318" s="5" t="s">
        <v>1610</v>
      </c>
      <c r="I318" s="5" t="s">
        <v>776</v>
      </c>
    </row>
    <row r="319" customFormat="false" ht="15" hidden="false" customHeight="false" outlineLevel="0" collapsed="false">
      <c r="A319" s="5" t="s">
        <v>1406</v>
      </c>
      <c r="B319" s="5"/>
      <c r="C319" s="5" t="n">
        <f aca="false">COUNTIF('Observed lines'!$F$2:$F$36,A319)</f>
        <v>0</v>
      </c>
      <c r="D319" s="5" t="n">
        <f aca="false">COUNTIFS('Observed lines'!$F$2:$F$36,A319,'Observed lines'!$G$2:$G$36,"&lt;&gt;")</f>
        <v>0</v>
      </c>
      <c r="E319" s="8" t="str">
        <f aca="false">IF(D319=0,"",_xlfn.MINIFS('Observed lines'!$G$2:$G$36,'Observed lines'!$F$2:$F$36,A319))</f>
        <v/>
      </c>
      <c r="F319" s="8" t="str">
        <f aca="false">IF(D319=0,"",_xlfn.MAXIFS('Observed lines'!$G$2:$G$36,'Observed lines'!$F$2:$F$36,A319))</f>
        <v/>
      </c>
      <c r="G319" s="5" t="str">
        <f aca="false">IF(D319=0,"none seen",IF(E319=F319,TEXT(E319,"$#,##0.00"),TEXT(E319,"$#,##0.00")&amp;" – "&amp;TEXT(F319,"$#,##0.00")))</f>
        <v>none seen</v>
      </c>
      <c r="H319" s="5" t="s">
        <v>1610</v>
      </c>
      <c r="I319" s="5" t="s">
        <v>776</v>
      </c>
    </row>
    <row r="320" customFormat="false" ht="15" hidden="false" customHeight="false" outlineLevel="0" collapsed="false">
      <c r="A320" s="5" t="s">
        <v>1407</v>
      </c>
      <c r="B320" s="5"/>
      <c r="C320" s="5" t="n">
        <f aca="false">COUNTIF('Observed lines'!$F$2:$F$36,A320)</f>
        <v>0</v>
      </c>
      <c r="D320" s="5" t="n">
        <f aca="false">COUNTIFS('Observed lines'!$F$2:$F$36,A320,'Observed lines'!$G$2:$G$36,"&lt;&gt;")</f>
        <v>0</v>
      </c>
      <c r="E320" s="8" t="str">
        <f aca="false">IF(D320=0,"",_xlfn.MINIFS('Observed lines'!$G$2:$G$36,'Observed lines'!$F$2:$F$36,A320))</f>
        <v/>
      </c>
      <c r="F320" s="8" t="str">
        <f aca="false">IF(D320=0,"",_xlfn.MAXIFS('Observed lines'!$G$2:$G$36,'Observed lines'!$F$2:$F$36,A320))</f>
        <v/>
      </c>
      <c r="G320" s="5" t="str">
        <f aca="false">IF(D320=0,"none seen",IF(E320=F320,TEXT(E320,"$#,##0.00"),TEXT(E320,"$#,##0.00")&amp;" – "&amp;TEXT(F320,"$#,##0.00")))</f>
        <v>none seen</v>
      </c>
      <c r="H320" s="5" t="s">
        <v>1610</v>
      </c>
      <c r="I320" s="5" t="s">
        <v>776</v>
      </c>
    </row>
    <row r="321" customFormat="false" ht="15" hidden="false" customHeight="false" outlineLevel="0" collapsed="false">
      <c r="A321" s="5" t="s">
        <v>1408</v>
      </c>
      <c r="B321" s="5"/>
      <c r="C321" s="5" t="n">
        <f aca="false">COUNTIF('Observed lines'!$F$2:$F$36,A321)</f>
        <v>0</v>
      </c>
      <c r="D321" s="5" t="n">
        <f aca="false">COUNTIFS('Observed lines'!$F$2:$F$36,A321,'Observed lines'!$G$2:$G$36,"&lt;&gt;")</f>
        <v>0</v>
      </c>
      <c r="E321" s="8" t="str">
        <f aca="false">IF(D321=0,"",_xlfn.MINIFS('Observed lines'!$G$2:$G$36,'Observed lines'!$F$2:$F$36,A321))</f>
        <v/>
      </c>
      <c r="F321" s="8" t="str">
        <f aca="false">IF(D321=0,"",_xlfn.MAXIFS('Observed lines'!$G$2:$G$36,'Observed lines'!$F$2:$F$36,A321))</f>
        <v/>
      </c>
      <c r="G321" s="5" t="str">
        <f aca="false">IF(D321=0,"none seen",IF(E321=F321,TEXT(E321,"$#,##0.00"),TEXT(E321,"$#,##0.00")&amp;" – "&amp;TEXT(F321,"$#,##0.00")))</f>
        <v>none seen</v>
      </c>
      <c r="H321" s="5" t="s">
        <v>1610</v>
      </c>
      <c r="I321" s="5" t="s">
        <v>776</v>
      </c>
    </row>
    <row r="322" customFormat="false" ht="15" hidden="false" customHeight="false" outlineLevel="0" collapsed="false">
      <c r="A322" s="5" t="s">
        <v>1409</v>
      </c>
      <c r="B322" s="5"/>
      <c r="C322" s="5" t="n">
        <f aca="false">COUNTIF('Observed lines'!$F$2:$F$36,A322)</f>
        <v>0</v>
      </c>
      <c r="D322" s="5" t="n">
        <f aca="false">COUNTIFS('Observed lines'!$F$2:$F$36,A322,'Observed lines'!$G$2:$G$36,"&lt;&gt;")</f>
        <v>0</v>
      </c>
      <c r="E322" s="8" t="str">
        <f aca="false">IF(D322=0,"",_xlfn.MINIFS('Observed lines'!$G$2:$G$36,'Observed lines'!$F$2:$F$36,A322))</f>
        <v/>
      </c>
      <c r="F322" s="8" t="str">
        <f aca="false">IF(D322=0,"",_xlfn.MAXIFS('Observed lines'!$G$2:$G$36,'Observed lines'!$F$2:$F$36,A322))</f>
        <v/>
      </c>
      <c r="G322" s="5" t="str">
        <f aca="false">IF(D322=0,"none seen",IF(E322=F322,TEXT(E322,"$#,##0.00"),TEXT(E322,"$#,##0.00")&amp;" – "&amp;TEXT(F322,"$#,##0.00")))</f>
        <v>none seen</v>
      </c>
      <c r="H322" s="5" t="s">
        <v>1610</v>
      </c>
      <c r="I322" s="5" t="s">
        <v>776</v>
      </c>
    </row>
    <row r="323" customFormat="false" ht="15" hidden="false" customHeight="false" outlineLevel="0" collapsed="false">
      <c r="A323" s="5" t="s">
        <v>1410</v>
      </c>
      <c r="B323" s="5"/>
      <c r="C323" s="5" t="n">
        <f aca="false">COUNTIF('Observed lines'!$F$2:$F$36,A323)</f>
        <v>0</v>
      </c>
      <c r="D323" s="5" t="n">
        <f aca="false">COUNTIFS('Observed lines'!$F$2:$F$36,A323,'Observed lines'!$G$2:$G$36,"&lt;&gt;")</f>
        <v>0</v>
      </c>
      <c r="E323" s="8" t="str">
        <f aca="false">IF(D323=0,"",_xlfn.MINIFS('Observed lines'!$G$2:$G$36,'Observed lines'!$F$2:$F$36,A323))</f>
        <v/>
      </c>
      <c r="F323" s="8" t="str">
        <f aca="false">IF(D323=0,"",_xlfn.MAXIFS('Observed lines'!$G$2:$G$36,'Observed lines'!$F$2:$F$36,A323))</f>
        <v/>
      </c>
      <c r="G323" s="5" t="str">
        <f aca="false">IF(D323=0,"none seen",IF(E323=F323,TEXT(E323,"$#,##0.00"),TEXT(E323,"$#,##0.00")&amp;" – "&amp;TEXT(F323,"$#,##0.00")))</f>
        <v>none seen</v>
      </c>
      <c r="H323" s="5" t="s">
        <v>1610</v>
      </c>
      <c r="I323" s="5" t="s">
        <v>776</v>
      </c>
    </row>
    <row r="324" customFormat="false" ht="15" hidden="false" customHeight="false" outlineLevel="0" collapsed="false">
      <c r="A324" s="5" t="s">
        <v>1411</v>
      </c>
      <c r="B324" s="5"/>
      <c r="C324" s="5" t="n">
        <f aca="false">COUNTIF('Observed lines'!$F$2:$F$36,A324)</f>
        <v>0</v>
      </c>
      <c r="D324" s="5" t="n">
        <f aca="false">COUNTIFS('Observed lines'!$F$2:$F$36,A324,'Observed lines'!$G$2:$G$36,"&lt;&gt;")</f>
        <v>0</v>
      </c>
      <c r="E324" s="8" t="str">
        <f aca="false">IF(D324=0,"",_xlfn.MINIFS('Observed lines'!$G$2:$G$36,'Observed lines'!$F$2:$F$36,A324))</f>
        <v/>
      </c>
      <c r="F324" s="8" t="str">
        <f aca="false">IF(D324=0,"",_xlfn.MAXIFS('Observed lines'!$G$2:$G$36,'Observed lines'!$F$2:$F$36,A324))</f>
        <v/>
      </c>
      <c r="G324" s="5" t="str">
        <f aca="false">IF(D324=0,"none seen",IF(E324=F324,TEXT(E324,"$#,##0.00"),TEXT(E324,"$#,##0.00")&amp;" – "&amp;TEXT(F324,"$#,##0.00")))</f>
        <v>none seen</v>
      </c>
      <c r="H324" s="5" t="s">
        <v>1610</v>
      </c>
      <c r="I324" s="5" t="s">
        <v>776</v>
      </c>
    </row>
    <row r="325" customFormat="false" ht="15" hidden="false" customHeight="false" outlineLevel="0" collapsed="false">
      <c r="A325" s="5" t="s">
        <v>1412</v>
      </c>
      <c r="B325" s="5"/>
      <c r="C325" s="5" t="n">
        <f aca="false">COUNTIF('Observed lines'!$F$2:$F$36,A325)</f>
        <v>0</v>
      </c>
      <c r="D325" s="5" t="n">
        <f aca="false">COUNTIFS('Observed lines'!$F$2:$F$36,A325,'Observed lines'!$G$2:$G$36,"&lt;&gt;")</f>
        <v>0</v>
      </c>
      <c r="E325" s="8" t="str">
        <f aca="false">IF(D325=0,"",_xlfn.MINIFS('Observed lines'!$G$2:$G$36,'Observed lines'!$F$2:$F$36,A325))</f>
        <v/>
      </c>
      <c r="F325" s="8" t="str">
        <f aca="false">IF(D325=0,"",_xlfn.MAXIFS('Observed lines'!$G$2:$G$36,'Observed lines'!$F$2:$F$36,A325))</f>
        <v/>
      </c>
      <c r="G325" s="5" t="str">
        <f aca="false">IF(D325=0,"none seen",IF(E325=F325,TEXT(E325,"$#,##0.00"),TEXT(E325,"$#,##0.00")&amp;" – "&amp;TEXT(F325,"$#,##0.00")))</f>
        <v>none seen</v>
      </c>
      <c r="H325" s="5" t="s">
        <v>1610</v>
      </c>
      <c r="I325" s="5" t="s">
        <v>776</v>
      </c>
    </row>
    <row r="326" customFormat="false" ht="15" hidden="false" customHeight="false" outlineLevel="0" collapsed="false">
      <c r="A326" s="5" t="s">
        <v>1413</v>
      </c>
      <c r="B326" s="5"/>
      <c r="C326" s="5" t="n">
        <f aca="false">COUNTIF('Observed lines'!$F$2:$F$36,A326)</f>
        <v>0</v>
      </c>
      <c r="D326" s="5" t="n">
        <f aca="false">COUNTIFS('Observed lines'!$F$2:$F$36,A326,'Observed lines'!$G$2:$G$36,"&lt;&gt;")</f>
        <v>0</v>
      </c>
      <c r="E326" s="8" t="str">
        <f aca="false">IF(D326=0,"",_xlfn.MINIFS('Observed lines'!$G$2:$G$36,'Observed lines'!$F$2:$F$36,A326))</f>
        <v/>
      </c>
      <c r="F326" s="8" t="str">
        <f aca="false">IF(D326=0,"",_xlfn.MAXIFS('Observed lines'!$G$2:$G$36,'Observed lines'!$F$2:$F$36,A326))</f>
        <v/>
      </c>
      <c r="G326" s="5" t="str">
        <f aca="false">IF(D326=0,"none seen",IF(E326=F326,TEXT(E326,"$#,##0.00"),TEXT(E326,"$#,##0.00")&amp;" – "&amp;TEXT(F326,"$#,##0.00")))</f>
        <v>none seen</v>
      </c>
      <c r="H326" s="5" t="s">
        <v>1610</v>
      </c>
      <c r="I326" s="5" t="s">
        <v>776</v>
      </c>
    </row>
    <row r="327" customFormat="false" ht="15" hidden="false" customHeight="false" outlineLevel="0" collapsed="false">
      <c r="A327" s="5" t="s">
        <v>1414</v>
      </c>
      <c r="B327" s="5"/>
      <c r="C327" s="5" t="n">
        <f aca="false">COUNTIF('Observed lines'!$F$2:$F$36,A327)</f>
        <v>0</v>
      </c>
      <c r="D327" s="5" t="n">
        <f aca="false">COUNTIFS('Observed lines'!$F$2:$F$36,A327,'Observed lines'!$G$2:$G$36,"&lt;&gt;")</f>
        <v>0</v>
      </c>
      <c r="E327" s="8" t="str">
        <f aca="false">IF(D327=0,"",_xlfn.MINIFS('Observed lines'!$G$2:$G$36,'Observed lines'!$F$2:$F$36,A327))</f>
        <v/>
      </c>
      <c r="F327" s="8" t="str">
        <f aca="false">IF(D327=0,"",_xlfn.MAXIFS('Observed lines'!$G$2:$G$36,'Observed lines'!$F$2:$F$36,A327))</f>
        <v/>
      </c>
      <c r="G327" s="5" t="str">
        <f aca="false">IF(D327=0,"none seen",IF(E327=F327,TEXT(E327,"$#,##0.00"),TEXT(E327,"$#,##0.00")&amp;" – "&amp;TEXT(F327,"$#,##0.00")))</f>
        <v>none seen</v>
      </c>
      <c r="H327" s="5" t="s">
        <v>1610</v>
      </c>
      <c r="I327" s="5" t="s">
        <v>776</v>
      </c>
    </row>
    <row r="328" customFormat="false" ht="15" hidden="false" customHeight="false" outlineLevel="0" collapsed="false">
      <c r="A328" s="5" t="s">
        <v>1415</v>
      </c>
      <c r="B328" s="5"/>
      <c r="C328" s="5" t="n">
        <f aca="false">COUNTIF('Observed lines'!$F$2:$F$36,A328)</f>
        <v>0</v>
      </c>
      <c r="D328" s="5" t="n">
        <f aca="false">COUNTIFS('Observed lines'!$F$2:$F$36,A328,'Observed lines'!$G$2:$G$36,"&lt;&gt;")</f>
        <v>0</v>
      </c>
      <c r="E328" s="8" t="str">
        <f aca="false">IF(D328=0,"",_xlfn.MINIFS('Observed lines'!$G$2:$G$36,'Observed lines'!$F$2:$F$36,A328))</f>
        <v/>
      </c>
      <c r="F328" s="8" t="str">
        <f aca="false">IF(D328=0,"",_xlfn.MAXIFS('Observed lines'!$G$2:$G$36,'Observed lines'!$F$2:$F$36,A328))</f>
        <v/>
      </c>
      <c r="G328" s="5" t="str">
        <f aca="false">IF(D328=0,"none seen",IF(E328=F328,TEXT(E328,"$#,##0.00"),TEXT(E328,"$#,##0.00")&amp;" – "&amp;TEXT(F328,"$#,##0.00")))</f>
        <v>none seen</v>
      </c>
      <c r="H328" s="5" t="s">
        <v>1610</v>
      </c>
      <c r="I328" s="5" t="s">
        <v>776</v>
      </c>
    </row>
    <row r="329" customFormat="false" ht="15" hidden="false" customHeight="false" outlineLevel="0" collapsed="false">
      <c r="A329" s="5" t="s">
        <v>1416</v>
      </c>
      <c r="B329" s="5"/>
      <c r="C329" s="5" t="n">
        <f aca="false">COUNTIF('Observed lines'!$F$2:$F$36,A329)</f>
        <v>0</v>
      </c>
      <c r="D329" s="5" t="n">
        <f aca="false">COUNTIFS('Observed lines'!$F$2:$F$36,A329,'Observed lines'!$G$2:$G$36,"&lt;&gt;")</f>
        <v>0</v>
      </c>
      <c r="E329" s="8" t="str">
        <f aca="false">IF(D329=0,"",_xlfn.MINIFS('Observed lines'!$G$2:$G$36,'Observed lines'!$F$2:$F$36,A329))</f>
        <v/>
      </c>
      <c r="F329" s="8" t="str">
        <f aca="false">IF(D329=0,"",_xlfn.MAXIFS('Observed lines'!$G$2:$G$36,'Observed lines'!$F$2:$F$36,A329))</f>
        <v/>
      </c>
      <c r="G329" s="5" t="str">
        <f aca="false">IF(D329=0,"none seen",IF(E329=F329,TEXT(E329,"$#,##0.00"),TEXT(E329,"$#,##0.00")&amp;" – "&amp;TEXT(F329,"$#,##0.00")))</f>
        <v>none seen</v>
      </c>
      <c r="H329" s="5" t="s">
        <v>1610</v>
      </c>
      <c r="I329" s="5" t="s">
        <v>776</v>
      </c>
    </row>
    <row r="330" customFormat="false" ht="15" hidden="false" customHeight="false" outlineLevel="0" collapsed="false">
      <c r="A330" s="5" t="s">
        <v>1417</v>
      </c>
      <c r="B330" s="5"/>
      <c r="C330" s="5" t="n">
        <f aca="false">COUNTIF('Observed lines'!$F$2:$F$36,A330)</f>
        <v>0</v>
      </c>
      <c r="D330" s="5" t="n">
        <f aca="false">COUNTIFS('Observed lines'!$F$2:$F$36,A330,'Observed lines'!$G$2:$G$36,"&lt;&gt;")</f>
        <v>0</v>
      </c>
      <c r="E330" s="8" t="str">
        <f aca="false">IF(D330=0,"",_xlfn.MINIFS('Observed lines'!$G$2:$G$36,'Observed lines'!$F$2:$F$36,A330))</f>
        <v/>
      </c>
      <c r="F330" s="8" t="str">
        <f aca="false">IF(D330=0,"",_xlfn.MAXIFS('Observed lines'!$G$2:$G$36,'Observed lines'!$F$2:$F$36,A330))</f>
        <v/>
      </c>
      <c r="G330" s="5" t="str">
        <f aca="false">IF(D330=0,"none seen",IF(E330=F330,TEXT(E330,"$#,##0.00"),TEXT(E330,"$#,##0.00")&amp;" – "&amp;TEXT(F330,"$#,##0.00")))</f>
        <v>none seen</v>
      </c>
      <c r="H330" s="5" t="s">
        <v>1610</v>
      </c>
      <c r="I330" s="5" t="s">
        <v>776</v>
      </c>
    </row>
    <row r="331" customFormat="false" ht="15" hidden="false" customHeight="false" outlineLevel="0" collapsed="false">
      <c r="A331" s="5" t="s">
        <v>1418</v>
      </c>
      <c r="B331" s="5"/>
      <c r="C331" s="5" t="n">
        <f aca="false">COUNTIF('Observed lines'!$F$2:$F$36,A331)</f>
        <v>0</v>
      </c>
      <c r="D331" s="5" t="n">
        <f aca="false">COUNTIFS('Observed lines'!$F$2:$F$36,A331,'Observed lines'!$G$2:$G$36,"&lt;&gt;")</f>
        <v>0</v>
      </c>
      <c r="E331" s="8" t="str">
        <f aca="false">IF(D331=0,"",_xlfn.MINIFS('Observed lines'!$G$2:$G$36,'Observed lines'!$F$2:$F$36,A331))</f>
        <v/>
      </c>
      <c r="F331" s="8" t="str">
        <f aca="false">IF(D331=0,"",_xlfn.MAXIFS('Observed lines'!$G$2:$G$36,'Observed lines'!$F$2:$F$36,A331))</f>
        <v/>
      </c>
      <c r="G331" s="5" t="str">
        <f aca="false">IF(D331=0,"none seen",IF(E331=F331,TEXT(E331,"$#,##0.00"),TEXT(E331,"$#,##0.00")&amp;" – "&amp;TEXT(F331,"$#,##0.00")))</f>
        <v>none seen</v>
      </c>
      <c r="H331" s="5" t="s">
        <v>1610</v>
      </c>
      <c r="I331" s="5" t="s">
        <v>776</v>
      </c>
    </row>
    <row r="332" customFormat="false" ht="15" hidden="false" customHeight="false" outlineLevel="0" collapsed="false">
      <c r="A332" s="5" t="s">
        <v>1419</v>
      </c>
      <c r="B332" s="5"/>
      <c r="C332" s="5" t="n">
        <f aca="false">COUNTIF('Observed lines'!$F$2:$F$36,A332)</f>
        <v>0</v>
      </c>
      <c r="D332" s="5" t="n">
        <f aca="false">COUNTIFS('Observed lines'!$F$2:$F$36,A332,'Observed lines'!$G$2:$G$36,"&lt;&gt;")</f>
        <v>0</v>
      </c>
      <c r="E332" s="8" t="str">
        <f aca="false">IF(D332=0,"",_xlfn.MINIFS('Observed lines'!$G$2:$G$36,'Observed lines'!$F$2:$F$36,A332))</f>
        <v/>
      </c>
      <c r="F332" s="8" t="str">
        <f aca="false">IF(D332=0,"",_xlfn.MAXIFS('Observed lines'!$G$2:$G$36,'Observed lines'!$F$2:$F$36,A332))</f>
        <v/>
      </c>
      <c r="G332" s="5" t="str">
        <f aca="false">IF(D332=0,"none seen",IF(E332=F332,TEXT(E332,"$#,##0.00"),TEXT(E332,"$#,##0.00")&amp;" – "&amp;TEXT(F332,"$#,##0.00")))</f>
        <v>none seen</v>
      </c>
      <c r="H332" s="5" t="s">
        <v>1610</v>
      </c>
      <c r="I332" s="5" t="s">
        <v>776</v>
      </c>
    </row>
    <row r="333" customFormat="false" ht="15" hidden="false" customHeight="false" outlineLevel="0" collapsed="false">
      <c r="A333" s="5" t="s">
        <v>1420</v>
      </c>
      <c r="B333" s="5"/>
      <c r="C333" s="5" t="n">
        <f aca="false">COUNTIF('Observed lines'!$F$2:$F$36,A333)</f>
        <v>0</v>
      </c>
      <c r="D333" s="5" t="n">
        <f aca="false">COUNTIFS('Observed lines'!$F$2:$F$36,A333,'Observed lines'!$G$2:$G$36,"&lt;&gt;")</f>
        <v>0</v>
      </c>
      <c r="E333" s="8" t="str">
        <f aca="false">IF(D333=0,"",_xlfn.MINIFS('Observed lines'!$G$2:$G$36,'Observed lines'!$F$2:$F$36,A333))</f>
        <v/>
      </c>
      <c r="F333" s="8" t="str">
        <f aca="false">IF(D333=0,"",_xlfn.MAXIFS('Observed lines'!$G$2:$G$36,'Observed lines'!$F$2:$F$36,A333))</f>
        <v/>
      </c>
      <c r="G333" s="5" t="str">
        <f aca="false">IF(D333=0,"none seen",IF(E333=F333,TEXT(E333,"$#,##0.00"),TEXT(E333,"$#,##0.00")&amp;" – "&amp;TEXT(F333,"$#,##0.00")))</f>
        <v>none seen</v>
      </c>
      <c r="H333" s="5" t="s">
        <v>1610</v>
      </c>
      <c r="I333" s="5" t="s">
        <v>776</v>
      </c>
    </row>
    <row r="334" customFormat="false" ht="15" hidden="false" customHeight="false" outlineLevel="0" collapsed="false">
      <c r="A334" s="5" t="s">
        <v>1421</v>
      </c>
      <c r="B334" s="5"/>
      <c r="C334" s="5" t="n">
        <f aca="false">COUNTIF('Observed lines'!$F$2:$F$36,A334)</f>
        <v>0</v>
      </c>
      <c r="D334" s="5" t="n">
        <f aca="false">COUNTIFS('Observed lines'!$F$2:$F$36,A334,'Observed lines'!$G$2:$G$36,"&lt;&gt;")</f>
        <v>0</v>
      </c>
      <c r="E334" s="8" t="str">
        <f aca="false">IF(D334=0,"",_xlfn.MINIFS('Observed lines'!$G$2:$G$36,'Observed lines'!$F$2:$F$36,A334))</f>
        <v/>
      </c>
      <c r="F334" s="8" t="str">
        <f aca="false">IF(D334=0,"",_xlfn.MAXIFS('Observed lines'!$G$2:$G$36,'Observed lines'!$F$2:$F$36,A334))</f>
        <v/>
      </c>
      <c r="G334" s="5" t="str">
        <f aca="false">IF(D334=0,"none seen",IF(E334=F334,TEXT(E334,"$#,##0.00"),TEXT(E334,"$#,##0.00")&amp;" – "&amp;TEXT(F334,"$#,##0.00")))</f>
        <v>none seen</v>
      </c>
      <c r="H334" s="5" t="s">
        <v>1610</v>
      </c>
      <c r="I334" s="5" t="s">
        <v>776</v>
      </c>
    </row>
    <row r="335" customFormat="false" ht="15" hidden="false" customHeight="false" outlineLevel="0" collapsed="false">
      <c r="A335" s="5" t="s">
        <v>1422</v>
      </c>
      <c r="B335" s="5"/>
      <c r="C335" s="5" t="n">
        <f aca="false">COUNTIF('Observed lines'!$F$2:$F$36,A335)</f>
        <v>0</v>
      </c>
      <c r="D335" s="5" t="n">
        <f aca="false">COUNTIFS('Observed lines'!$F$2:$F$36,A335,'Observed lines'!$G$2:$G$36,"&lt;&gt;")</f>
        <v>0</v>
      </c>
      <c r="E335" s="8" t="str">
        <f aca="false">IF(D335=0,"",_xlfn.MINIFS('Observed lines'!$G$2:$G$36,'Observed lines'!$F$2:$F$36,A335))</f>
        <v/>
      </c>
      <c r="F335" s="8" t="str">
        <f aca="false">IF(D335=0,"",_xlfn.MAXIFS('Observed lines'!$G$2:$G$36,'Observed lines'!$F$2:$F$36,A335))</f>
        <v/>
      </c>
      <c r="G335" s="5" t="str">
        <f aca="false">IF(D335=0,"none seen",IF(E335=F335,TEXT(E335,"$#,##0.00"),TEXT(E335,"$#,##0.00")&amp;" – "&amp;TEXT(F335,"$#,##0.00")))</f>
        <v>none seen</v>
      </c>
      <c r="H335" s="5" t="s">
        <v>1610</v>
      </c>
      <c r="I335" s="5" t="s">
        <v>776</v>
      </c>
    </row>
    <row r="336" customFormat="false" ht="15" hidden="false" customHeight="false" outlineLevel="0" collapsed="false">
      <c r="A336" s="5" t="s">
        <v>1423</v>
      </c>
      <c r="B336" s="5"/>
      <c r="C336" s="5" t="n">
        <f aca="false">COUNTIF('Observed lines'!$F$2:$F$36,A336)</f>
        <v>0</v>
      </c>
      <c r="D336" s="5" t="n">
        <f aca="false">COUNTIFS('Observed lines'!$F$2:$F$36,A336,'Observed lines'!$G$2:$G$36,"&lt;&gt;")</f>
        <v>0</v>
      </c>
      <c r="E336" s="8" t="str">
        <f aca="false">IF(D336=0,"",_xlfn.MINIFS('Observed lines'!$G$2:$G$36,'Observed lines'!$F$2:$F$36,A336))</f>
        <v/>
      </c>
      <c r="F336" s="8" t="str">
        <f aca="false">IF(D336=0,"",_xlfn.MAXIFS('Observed lines'!$G$2:$G$36,'Observed lines'!$F$2:$F$36,A336))</f>
        <v/>
      </c>
      <c r="G336" s="5" t="str">
        <f aca="false">IF(D336=0,"none seen",IF(E336=F336,TEXT(E336,"$#,##0.00"),TEXT(E336,"$#,##0.00")&amp;" – "&amp;TEXT(F336,"$#,##0.00")))</f>
        <v>none seen</v>
      </c>
      <c r="H336" s="5" t="s">
        <v>1610</v>
      </c>
      <c r="I336" s="5" t="s">
        <v>776</v>
      </c>
    </row>
    <row r="337" customFormat="false" ht="15" hidden="false" customHeight="false" outlineLevel="0" collapsed="false">
      <c r="A337" s="5" t="s">
        <v>1424</v>
      </c>
      <c r="B337" s="5"/>
      <c r="C337" s="5" t="n">
        <f aca="false">COUNTIF('Observed lines'!$F$2:$F$36,A337)</f>
        <v>0</v>
      </c>
      <c r="D337" s="5" t="n">
        <f aca="false">COUNTIFS('Observed lines'!$F$2:$F$36,A337,'Observed lines'!$G$2:$G$36,"&lt;&gt;")</f>
        <v>0</v>
      </c>
      <c r="E337" s="8" t="str">
        <f aca="false">IF(D337=0,"",_xlfn.MINIFS('Observed lines'!$G$2:$G$36,'Observed lines'!$F$2:$F$36,A337))</f>
        <v/>
      </c>
      <c r="F337" s="8" t="str">
        <f aca="false">IF(D337=0,"",_xlfn.MAXIFS('Observed lines'!$G$2:$G$36,'Observed lines'!$F$2:$F$36,A337))</f>
        <v/>
      </c>
      <c r="G337" s="5" t="str">
        <f aca="false">IF(D337=0,"none seen",IF(E337=F337,TEXT(E337,"$#,##0.00"),TEXT(E337,"$#,##0.00")&amp;" – "&amp;TEXT(F337,"$#,##0.00")))</f>
        <v>none seen</v>
      </c>
      <c r="H337" s="5" t="s">
        <v>1610</v>
      </c>
      <c r="I337" s="5" t="s">
        <v>776</v>
      </c>
    </row>
    <row r="338" customFormat="false" ht="15" hidden="false" customHeight="false" outlineLevel="0" collapsed="false">
      <c r="A338" s="5" t="s">
        <v>1425</v>
      </c>
      <c r="B338" s="5"/>
      <c r="C338" s="5" t="n">
        <f aca="false">COUNTIF('Observed lines'!$F$2:$F$36,A338)</f>
        <v>0</v>
      </c>
      <c r="D338" s="5" t="n">
        <f aca="false">COUNTIFS('Observed lines'!$F$2:$F$36,A338,'Observed lines'!$G$2:$G$36,"&lt;&gt;")</f>
        <v>0</v>
      </c>
      <c r="E338" s="8" t="str">
        <f aca="false">IF(D338=0,"",_xlfn.MINIFS('Observed lines'!$G$2:$G$36,'Observed lines'!$F$2:$F$36,A338))</f>
        <v/>
      </c>
      <c r="F338" s="8" t="str">
        <f aca="false">IF(D338=0,"",_xlfn.MAXIFS('Observed lines'!$G$2:$G$36,'Observed lines'!$F$2:$F$36,A338))</f>
        <v/>
      </c>
      <c r="G338" s="5" t="str">
        <f aca="false">IF(D338=0,"none seen",IF(E338=F338,TEXT(E338,"$#,##0.00"),TEXT(E338,"$#,##0.00")&amp;" – "&amp;TEXT(F338,"$#,##0.00")))</f>
        <v>none seen</v>
      </c>
      <c r="H338" s="5" t="s">
        <v>1610</v>
      </c>
      <c r="I338" s="5" t="s">
        <v>776</v>
      </c>
    </row>
    <row r="339" customFormat="false" ht="15" hidden="false" customHeight="false" outlineLevel="0" collapsed="false">
      <c r="A339" s="5" t="s">
        <v>1426</v>
      </c>
      <c r="B339" s="5"/>
      <c r="C339" s="5" t="n">
        <f aca="false">COUNTIF('Observed lines'!$F$2:$F$36,A339)</f>
        <v>0</v>
      </c>
      <c r="D339" s="5" t="n">
        <f aca="false">COUNTIFS('Observed lines'!$F$2:$F$36,A339,'Observed lines'!$G$2:$G$36,"&lt;&gt;")</f>
        <v>0</v>
      </c>
      <c r="E339" s="8" t="str">
        <f aca="false">IF(D339=0,"",_xlfn.MINIFS('Observed lines'!$G$2:$G$36,'Observed lines'!$F$2:$F$36,A339))</f>
        <v/>
      </c>
      <c r="F339" s="8" t="str">
        <f aca="false">IF(D339=0,"",_xlfn.MAXIFS('Observed lines'!$G$2:$G$36,'Observed lines'!$F$2:$F$36,A339))</f>
        <v/>
      </c>
      <c r="G339" s="5" t="str">
        <f aca="false">IF(D339=0,"none seen",IF(E339=F339,TEXT(E339,"$#,##0.00"),TEXT(E339,"$#,##0.00")&amp;" – "&amp;TEXT(F339,"$#,##0.00")))</f>
        <v>none seen</v>
      </c>
      <c r="H339" s="5" t="s">
        <v>1610</v>
      </c>
      <c r="I339" s="5" t="s">
        <v>776</v>
      </c>
    </row>
    <row r="340" customFormat="false" ht="15" hidden="false" customHeight="false" outlineLevel="0" collapsed="false">
      <c r="A340" s="5" t="s">
        <v>1427</v>
      </c>
      <c r="B340" s="5"/>
      <c r="C340" s="5" t="n">
        <f aca="false">COUNTIF('Observed lines'!$F$2:$F$36,A340)</f>
        <v>0</v>
      </c>
      <c r="D340" s="5" t="n">
        <f aca="false">COUNTIFS('Observed lines'!$F$2:$F$36,A340,'Observed lines'!$G$2:$G$36,"&lt;&gt;")</f>
        <v>0</v>
      </c>
      <c r="E340" s="8" t="str">
        <f aca="false">IF(D340=0,"",_xlfn.MINIFS('Observed lines'!$G$2:$G$36,'Observed lines'!$F$2:$F$36,A340))</f>
        <v/>
      </c>
      <c r="F340" s="8" t="str">
        <f aca="false">IF(D340=0,"",_xlfn.MAXIFS('Observed lines'!$G$2:$G$36,'Observed lines'!$F$2:$F$36,A340))</f>
        <v/>
      </c>
      <c r="G340" s="5" t="str">
        <f aca="false">IF(D340=0,"none seen",IF(E340=F340,TEXT(E340,"$#,##0.00"),TEXT(E340,"$#,##0.00")&amp;" – "&amp;TEXT(F340,"$#,##0.00")))</f>
        <v>none seen</v>
      </c>
      <c r="H340" s="5" t="s">
        <v>1610</v>
      </c>
      <c r="I340" s="5" t="s">
        <v>776</v>
      </c>
    </row>
    <row r="341" customFormat="false" ht="15" hidden="false" customHeight="false" outlineLevel="0" collapsed="false">
      <c r="A341" s="5" t="s">
        <v>1428</v>
      </c>
      <c r="B341" s="5"/>
      <c r="C341" s="5" t="n">
        <f aca="false">COUNTIF('Observed lines'!$F$2:$F$36,A341)</f>
        <v>0</v>
      </c>
      <c r="D341" s="5" t="n">
        <f aca="false">COUNTIFS('Observed lines'!$F$2:$F$36,A341,'Observed lines'!$G$2:$G$36,"&lt;&gt;")</f>
        <v>0</v>
      </c>
      <c r="E341" s="8" t="str">
        <f aca="false">IF(D341=0,"",_xlfn.MINIFS('Observed lines'!$G$2:$G$36,'Observed lines'!$F$2:$F$36,A341))</f>
        <v/>
      </c>
      <c r="F341" s="8" t="str">
        <f aca="false">IF(D341=0,"",_xlfn.MAXIFS('Observed lines'!$G$2:$G$36,'Observed lines'!$F$2:$F$36,A341))</f>
        <v/>
      </c>
      <c r="G341" s="5" t="str">
        <f aca="false">IF(D341=0,"none seen",IF(E341=F341,TEXT(E341,"$#,##0.00"),TEXT(E341,"$#,##0.00")&amp;" – "&amp;TEXT(F341,"$#,##0.00")))</f>
        <v>none seen</v>
      </c>
      <c r="H341" s="5" t="s">
        <v>1610</v>
      </c>
      <c r="I341" s="5" t="s">
        <v>776</v>
      </c>
    </row>
    <row r="342" customFormat="false" ht="15" hidden="false" customHeight="false" outlineLevel="0" collapsed="false">
      <c r="A342" s="5" t="s">
        <v>1429</v>
      </c>
      <c r="B342" s="5"/>
      <c r="C342" s="5" t="n">
        <f aca="false">COUNTIF('Observed lines'!$F$2:$F$36,A342)</f>
        <v>0</v>
      </c>
      <c r="D342" s="5" t="n">
        <f aca="false">COUNTIFS('Observed lines'!$F$2:$F$36,A342,'Observed lines'!$G$2:$G$36,"&lt;&gt;")</f>
        <v>0</v>
      </c>
      <c r="E342" s="8" t="str">
        <f aca="false">IF(D342=0,"",_xlfn.MINIFS('Observed lines'!$G$2:$G$36,'Observed lines'!$F$2:$F$36,A342))</f>
        <v/>
      </c>
      <c r="F342" s="8" t="str">
        <f aca="false">IF(D342=0,"",_xlfn.MAXIFS('Observed lines'!$G$2:$G$36,'Observed lines'!$F$2:$F$36,A342))</f>
        <v/>
      </c>
      <c r="G342" s="5" t="str">
        <f aca="false">IF(D342=0,"none seen",IF(E342=F342,TEXT(E342,"$#,##0.00"),TEXT(E342,"$#,##0.00")&amp;" – "&amp;TEXT(F342,"$#,##0.00")))</f>
        <v>none seen</v>
      </c>
      <c r="H342" s="5" t="s">
        <v>1610</v>
      </c>
      <c r="I342" s="5" t="s">
        <v>776</v>
      </c>
    </row>
    <row r="343" customFormat="false" ht="15" hidden="false" customHeight="false" outlineLevel="0" collapsed="false">
      <c r="A343" s="5" t="s">
        <v>1430</v>
      </c>
      <c r="B343" s="5"/>
      <c r="C343" s="5" t="n">
        <f aca="false">COUNTIF('Observed lines'!$F$2:$F$36,A343)</f>
        <v>0</v>
      </c>
      <c r="D343" s="5" t="n">
        <f aca="false">COUNTIFS('Observed lines'!$F$2:$F$36,A343,'Observed lines'!$G$2:$G$36,"&lt;&gt;")</f>
        <v>0</v>
      </c>
      <c r="E343" s="8" t="str">
        <f aca="false">IF(D343=0,"",_xlfn.MINIFS('Observed lines'!$G$2:$G$36,'Observed lines'!$F$2:$F$36,A343))</f>
        <v/>
      </c>
      <c r="F343" s="8" t="str">
        <f aca="false">IF(D343=0,"",_xlfn.MAXIFS('Observed lines'!$G$2:$G$36,'Observed lines'!$F$2:$F$36,A343))</f>
        <v/>
      </c>
      <c r="G343" s="5" t="str">
        <f aca="false">IF(D343=0,"none seen",IF(E343=F343,TEXT(E343,"$#,##0.00"),TEXT(E343,"$#,##0.00")&amp;" – "&amp;TEXT(F343,"$#,##0.00")))</f>
        <v>none seen</v>
      </c>
      <c r="H343" s="5" t="s">
        <v>1610</v>
      </c>
      <c r="I343" s="5" t="s">
        <v>776</v>
      </c>
    </row>
    <row r="344" customFormat="false" ht="15" hidden="false" customHeight="false" outlineLevel="0" collapsed="false">
      <c r="A344" s="5" t="s">
        <v>1431</v>
      </c>
      <c r="B344" s="5"/>
      <c r="C344" s="5" t="n">
        <f aca="false">COUNTIF('Observed lines'!$F$2:$F$36,A344)</f>
        <v>0</v>
      </c>
      <c r="D344" s="5" t="n">
        <f aca="false">COUNTIFS('Observed lines'!$F$2:$F$36,A344,'Observed lines'!$G$2:$G$36,"&lt;&gt;")</f>
        <v>0</v>
      </c>
      <c r="E344" s="8" t="str">
        <f aca="false">IF(D344=0,"",_xlfn.MINIFS('Observed lines'!$G$2:$G$36,'Observed lines'!$F$2:$F$36,A344))</f>
        <v/>
      </c>
      <c r="F344" s="8" t="str">
        <f aca="false">IF(D344=0,"",_xlfn.MAXIFS('Observed lines'!$G$2:$G$36,'Observed lines'!$F$2:$F$36,A344))</f>
        <v/>
      </c>
      <c r="G344" s="5" t="str">
        <f aca="false">IF(D344=0,"none seen",IF(E344=F344,TEXT(E344,"$#,##0.00"),TEXT(E344,"$#,##0.00")&amp;" – "&amp;TEXT(F344,"$#,##0.00")))</f>
        <v>none seen</v>
      </c>
      <c r="H344" s="5" t="s">
        <v>1610</v>
      </c>
      <c r="I344" s="5" t="s">
        <v>776</v>
      </c>
    </row>
    <row r="345" customFormat="false" ht="15" hidden="false" customHeight="false" outlineLevel="0" collapsed="false">
      <c r="A345" s="5" t="s">
        <v>1432</v>
      </c>
      <c r="B345" s="5"/>
      <c r="C345" s="5" t="n">
        <f aca="false">COUNTIF('Observed lines'!$F$2:$F$36,A345)</f>
        <v>0</v>
      </c>
      <c r="D345" s="5" t="n">
        <f aca="false">COUNTIFS('Observed lines'!$F$2:$F$36,A345,'Observed lines'!$G$2:$G$36,"&lt;&gt;")</f>
        <v>0</v>
      </c>
      <c r="E345" s="8" t="str">
        <f aca="false">IF(D345=0,"",_xlfn.MINIFS('Observed lines'!$G$2:$G$36,'Observed lines'!$F$2:$F$36,A345))</f>
        <v/>
      </c>
      <c r="F345" s="8" t="str">
        <f aca="false">IF(D345=0,"",_xlfn.MAXIFS('Observed lines'!$G$2:$G$36,'Observed lines'!$F$2:$F$36,A345))</f>
        <v/>
      </c>
      <c r="G345" s="5" t="str">
        <f aca="false">IF(D345=0,"none seen",IF(E345=F345,TEXT(E345,"$#,##0.00"),TEXT(E345,"$#,##0.00")&amp;" – "&amp;TEXT(F345,"$#,##0.00")))</f>
        <v>none seen</v>
      </c>
      <c r="H345" s="5" t="s">
        <v>1610</v>
      </c>
      <c r="I345" s="5" t="s">
        <v>776</v>
      </c>
    </row>
    <row r="346" customFormat="false" ht="15" hidden="false" customHeight="false" outlineLevel="0" collapsed="false">
      <c r="A346" s="5" t="s">
        <v>1433</v>
      </c>
      <c r="B346" s="5"/>
      <c r="C346" s="5" t="n">
        <f aca="false">COUNTIF('Observed lines'!$F$2:$F$36,A346)</f>
        <v>0</v>
      </c>
      <c r="D346" s="5" t="n">
        <f aca="false">COUNTIFS('Observed lines'!$F$2:$F$36,A346,'Observed lines'!$G$2:$G$36,"&lt;&gt;")</f>
        <v>0</v>
      </c>
      <c r="E346" s="8" t="str">
        <f aca="false">IF(D346=0,"",_xlfn.MINIFS('Observed lines'!$G$2:$G$36,'Observed lines'!$F$2:$F$36,A346))</f>
        <v/>
      </c>
      <c r="F346" s="8" t="str">
        <f aca="false">IF(D346=0,"",_xlfn.MAXIFS('Observed lines'!$G$2:$G$36,'Observed lines'!$F$2:$F$36,A346))</f>
        <v/>
      </c>
      <c r="G346" s="5" t="str">
        <f aca="false">IF(D346=0,"none seen",IF(E346=F346,TEXT(E346,"$#,##0.00"),TEXT(E346,"$#,##0.00")&amp;" – "&amp;TEXT(F346,"$#,##0.00")))</f>
        <v>none seen</v>
      </c>
      <c r="H346" s="5" t="s">
        <v>1610</v>
      </c>
      <c r="I346" s="5" t="s">
        <v>776</v>
      </c>
    </row>
    <row r="347" customFormat="false" ht="15" hidden="false" customHeight="false" outlineLevel="0" collapsed="false">
      <c r="A347" s="5" t="s">
        <v>1434</v>
      </c>
      <c r="B347" s="5"/>
      <c r="C347" s="5" t="n">
        <f aca="false">COUNTIF('Observed lines'!$F$2:$F$36,A347)</f>
        <v>0</v>
      </c>
      <c r="D347" s="5" t="n">
        <f aca="false">COUNTIFS('Observed lines'!$F$2:$F$36,A347,'Observed lines'!$G$2:$G$36,"&lt;&gt;")</f>
        <v>0</v>
      </c>
      <c r="E347" s="8" t="str">
        <f aca="false">IF(D347=0,"",_xlfn.MINIFS('Observed lines'!$G$2:$G$36,'Observed lines'!$F$2:$F$36,A347))</f>
        <v/>
      </c>
      <c r="F347" s="8" t="str">
        <f aca="false">IF(D347=0,"",_xlfn.MAXIFS('Observed lines'!$G$2:$G$36,'Observed lines'!$F$2:$F$36,A347))</f>
        <v/>
      </c>
      <c r="G347" s="5" t="str">
        <f aca="false">IF(D347=0,"none seen",IF(E347=F347,TEXT(E347,"$#,##0.00"),TEXT(E347,"$#,##0.00")&amp;" – "&amp;TEXT(F347,"$#,##0.00")))</f>
        <v>none seen</v>
      </c>
      <c r="H347" s="5" t="s">
        <v>1610</v>
      </c>
      <c r="I347" s="5" t="s">
        <v>776</v>
      </c>
    </row>
    <row r="348" customFormat="false" ht="15" hidden="false" customHeight="false" outlineLevel="0" collapsed="false">
      <c r="A348" s="5" t="s">
        <v>1435</v>
      </c>
      <c r="B348" s="5"/>
      <c r="C348" s="5" t="n">
        <f aca="false">COUNTIF('Observed lines'!$F$2:$F$36,A348)</f>
        <v>0</v>
      </c>
      <c r="D348" s="5" t="n">
        <f aca="false">COUNTIFS('Observed lines'!$F$2:$F$36,A348,'Observed lines'!$G$2:$G$36,"&lt;&gt;")</f>
        <v>0</v>
      </c>
      <c r="E348" s="8" t="str">
        <f aca="false">IF(D348=0,"",_xlfn.MINIFS('Observed lines'!$G$2:$G$36,'Observed lines'!$F$2:$F$36,A348))</f>
        <v/>
      </c>
      <c r="F348" s="8" t="str">
        <f aca="false">IF(D348=0,"",_xlfn.MAXIFS('Observed lines'!$G$2:$G$36,'Observed lines'!$F$2:$F$36,A348))</f>
        <v/>
      </c>
      <c r="G348" s="5" t="str">
        <f aca="false">IF(D348=0,"none seen",IF(E348=F348,TEXT(E348,"$#,##0.00"),TEXT(E348,"$#,##0.00")&amp;" – "&amp;TEXT(F348,"$#,##0.00")))</f>
        <v>none seen</v>
      </c>
      <c r="H348" s="5" t="s">
        <v>1610</v>
      </c>
      <c r="I348" s="5" t="s">
        <v>776</v>
      </c>
    </row>
    <row r="349" customFormat="false" ht="15" hidden="false" customHeight="false" outlineLevel="0" collapsed="false">
      <c r="A349" s="5" t="s">
        <v>1436</v>
      </c>
      <c r="B349" s="5"/>
      <c r="C349" s="5" t="n">
        <f aca="false">COUNTIF('Observed lines'!$F$2:$F$36,A349)</f>
        <v>0</v>
      </c>
      <c r="D349" s="5" t="n">
        <f aca="false">COUNTIFS('Observed lines'!$F$2:$F$36,A349,'Observed lines'!$G$2:$G$36,"&lt;&gt;")</f>
        <v>0</v>
      </c>
      <c r="E349" s="8" t="str">
        <f aca="false">IF(D349=0,"",_xlfn.MINIFS('Observed lines'!$G$2:$G$36,'Observed lines'!$F$2:$F$36,A349))</f>
        <v/>
      </c>
      <c r="F349" s="8" t="str">
        <f aca="false">IF(D349=0,"",_xlfn.MAXIFS('Observed lines'!$G$2:$G$36,'Observed lines'!$F$2:$F$36,A349))</f>
        <v/>
      </c>
      <c r="G349" s="5" t="str">
        <f aca="false">IF(D349=0,"none seen",IF(E349=F349,TEXT(E349,"$#,##0.00"),TEXT(E349,"$#,##0.00")&amp;" – "&amp;TEXT(F349,"$#,##0.00")))</f>
        <v>none seen</v>
      </c>
      <c r="H349" s="5" t="s">
        <v>1610</v>
      </c>
      <c r="I349" s="5" t="s">
        <v>776</v>
      </c>
    </row>
    <row r="350" customFormat="false" ht="15" hidden="false" customHeight="false" outlineLevel="0" collapsed="false">
      <c r="A350" s="5" t="s">
        <v>1437</v>
      </c>
      <c r="B350" s="5"/>
      <c r="C350" s="5" t="n">
        <f aca="false">COUNTIF('Observed lines'!$F$2:$F$36,A350)</f>
        <v>0</v>
      </c>
      <c r="D350" s="5" t="n">
        <f aca="false">COUNTIFS('Observed lines'!$F$2:$F$36,A350,'Observed lines'!$G$2:$G$36,"&lt;&gt;")</f>
        <v>0</v>
      </c>
      <c r="E350" s="8" t="str">
        <f aca="false">IF(D350=0,"",_xlfn.MINIFS('Observed lines'!$G$2:$G$36,'Observed lines'!$F$2:$F$36,A350))</f>
        <v/>
      </c>
      <c r="F350" s="8" t="str">
        <f aca="false">IF(D350=0,"",_xlfn.MAXIFS('Observed lines'!$G$2:$G$36,'Observed lines'!$F$2:$F$36,A350))</f>
        <v/>
      </c>
      <c r="G350" s="5" t="str">
        <f aca="false">IF(D350=0,"none seen",IF(E350=F350,TEXT(E350,"$#,##0.00"),TEXT(E350,"$#,##0.00")&amp;" – "&amp;TEXT(F350,"$#,##0.00")))</f>
        <v>none seen</v>
      </c>
      <c r="H350" s="5" t="s">
        <v>1610</v>
      </c>
      <c r="I350" s="5" t="s">
        <v>776</v>
      </c>
    </row>
    <row r="351" customFormat="false" ht="15" hidden="false" customHeight="false" outlineLevel="0" collapsed="false">
      <c r="A351" s="5" t="s">
        <v>1438</v>
      </c>
      <c r="B351" s="5"/>
      <c r="C351" s="5" t="n">
        <f aca="false">COUNTIF('Observed lines'!$F$2:$F$36,A351)</f>
        <v>0</v>
      </c>
      <c r="D351" s="5" t="n">
        <f aca="false">COUNTIFS('Observed lines'!$F$2:$F$36,A351,'Observed lines'!$G$2:$G$36,"&lt;&gt;")</f>
        <v>0</v>
      </c>
      <c r="E351" s="8" t="str">
        <f aca="false">IF(D351=0,"",_xlfn.MINIFS('Observed lines'!$G$2:$G$36,'Observed lines'!$F$2:$F$36,A351))</f>
        <v/>
      </c>
      <c r="F351" s="8" t="str">
        <f aca="false">IF(D351=0,"",_xlfn.MAXIFS('Observed lines'!$G$2:$G$36,'Observed lines'!$F$2:$F$36,A351))</f>
        <v/>
      </c>
      <c r="G351" s="5" t="str">
        <f aca="false">IF(D351=0,"none seen",IF(E351=F351,TEXT(E351,"$#,##0.00"),TEXT(E351,"$#,##0.00")&amp;" – "&amp;TEXT(F351,"$#,##0.00")))</f>
        <v>none seen</v>
      </c>
      <c r="H351" s="5" t="s">
        <v>1610</v>
      </c>
      <c r="I351" s="5" t="s">
        <v>776</v>
      </c>
    </row>
    <row r="352" customFormat="false" ht="15" hidden="false" customHeight="false" outlineLevel="0" collapsed="false">
      <c r="A352" s="5" t="s">
        <v>1439</v>
      </c>
      <c r="B352" s="5"/>
      <c r="C352" s="5" t="n">
        <f aca="false">COUNTIF('Observed lines'!$F$2:$F$36,A352)</f>
        <v>0</v>
      </c>
      <c r="D352" s="5" t="n">
        <f aca="false">COUNTIFS('Observed lines'!$F$2:$F$36,A352,'Observed lines'!$G$2:$G$36,"&lt;&gt;")</f>
        <v>0</v>
      </c>
      <c r="E352" s="8" t="str">
        <f aca="false">IF(D352=0,"",_xlfn.MINIFS('Observed lines'!$G$2:$G$36,'Observed lines'!$F$2:$F$36,A352))</f>
        <v/>
      </c>
      <c r="F352" s="8" t="str">
        <f aca="false">IF(D352=0,"",_xlfn.MAXIFS('Observed lines'!$G$2:$G$36,'Observed lines'!$F$2:$F$36,A352))</f>
        <v/>
      </c>
      <c r="G352" s="5" t="str">
        <f aca="false">IF(D352=0,"none seen",IF(E352=F352,TEXT(E352,"$#,##0.00"),TEXT(E352,"$#,##0.00")&amp;" – "&amp;TEXT(F352,"$#,##0.00")))</f>
        <v>none seen</v>
      </c>
      <c r="H352" s="5" t="s">
        <v>1610</v>
      </c>
      <c r="I352" s="5" t="s">
        <v>776</v>
      </c>
    </row>
    <row r="353" customFormat="false" ht="15" hidden="false" customHeight="false" outlineLevel="0" collapsed="false">
      <c r="A353" s="5" t="s">
        <v>1440</v>
      </c>
      <c r="B353" s="5"/>
      <c r="C353" s="5" t="n">
        <f aca="false">COUNTIF('Observed lines'!$F$2:$F$36,A353)</f>
        <v>0</v>
      </c>
      <c r="D353" s="5" t="n">
        <f aca="false">COUNTIFS('Observed lines'!$F$2:$F$36,A353,'Observed lines'!$G$2:$G$36,"&lt;&gt;")</f>
        <v>0</v>
      </c>
      <c r="E353" s="8" t="str">
        <f aca="false">IF(D353=0,"",_xlfn.MINIFS('Observed lines'!$G$2:$G$36,'Observed lines'!$F$2:$F$36,A353))</f>
        <v/>
      </c>
      <c r="F353" s="8" t="str">
        <f aca="false">IF(D353=0,"",_xlfn.MAXIFS('Observed lines'!$G$2:$G$36,'Observed lines'!$F$2:$F$36,A353))</f>
        <v/>
      </c>
      <c r="G353" s="5" t="str">
        <f aca="false">IF(D353=0,"none seen",IF(E353=F353,TEXT(E353,"$#,##0.00"),TEXT(E353,"$#,##0.00")&amp;" – "&amp;TEXT(F353,"$#,##0.00")))</f>
        <v>none seen</v>
      </c>
      <c r="H353" s="5" t="s">
        <v>1610</v>
      </c>
      <c r="I353" s="5" t="s">
        <v>776</v>
      </c>
    </row>
    <row r="354" customFormat="false" ht="15" hidden="false" customHeight="false" outlineLevel="0" collapsed="false">
      <c r="A354" s="5" t="s">
        <v>1441</v>
      </c>
      <c r="B354" s="5"/>
      <c r="C354" s="5" t="n">
        <f aca="false">COUNTIF('Observed lines'!$F$2:$F$36,A354)</f>
        <v>0</v>
      </c>
      <c r="D354" s="5" t="n">
        <f aca="false">COUNTIFS('Observed lines'!$F$2:$F$36,A354,'Observed lines'!$G$2:$G$36,"&lt;&gt;")</f>
        <v>0</v>
      </c>
      <c r="E354" s="8" t="str">
        <f aca="false">IF(D354=0,"",_xlfn.MINIFS('Observed lines'!$G$2:$G$36,'Observed lines'!$F$2:$F$36,A354))</f>
        <v/>
      </c>
      <c r="F354" s="8" t="str">
        <f aca="false">IF(D354=0,"",_xlfn.MAXIFS('Observed lines'!$G$2:$G$36,'Observed lines'!$F$2:$F$36,A354))</f>
        <v/>
      </c>
      <c r="G354" s="5" t="str">
        <f aca="false">IF(D354=0,"none seen",IF(E354=F354,TEXT(E354,"$#,##0.00"),TEXT(E354,"$#,##0.00")&amp;" – "&amp;TEXT(F354,"$#,##0.00")))</f>
        <v>none seen</v>
      </c>
      <c r="H354" s="5" t="s">
        <v>1610</v>
      </c>
      <c r="I354" s="5" t="s">
        <v>776</v>
      </c>
    </row>
    <row r="355" customFormat="false" ht="15" hidden="false" customHeight="false" outlineLevel="0" collapsed="false">
      <c r="A355" s="5" t="s">
        <v>1442</v>
      </c>
      <c r="B355" s="5"/>
      <c r="C355" s="5" t="n">
        <f aca="false">COUNTIF('Observed lines'!$F$2:$F$36,A355)</f>
        <v>0</v>
      </c>
      <c r="D355" s="5" t="n">
        <f aca="false">COUNTIFS('Observed lines'!$F$2:$F$36,A355,'Observed lines'!$G$2:$G$36,"&lt;&gt;")</f>
        <v>0</v>
      </c>
      <c r="E355" s="8" t="str">
        <f aca="false">IF(D355=0,"",_xlfn.MINIFS('Observed lines'!$G$2:$G$36,'Observed lines'!$F$2:$F$36,A355))</f>
        <v/>
      </c>
      <c r="F355" s="8" t="str">
        <f aca="false">IF(D355=0,"",_xlfn.MAXIFS('Observed lines'!$G$2:$G$36,'Observed lines'!$F$2:$F$36,A355))</f>
        <v/>
      </c>
      <c r="G355" s="5" t="str">
        <f aca="false">IF(D355=0,"none seen",IF(E355=F355,TEXT(E355,"$#,##0.00"),TEXT(E355,"$#,##0.00")&amp;" – "&amp;TEXT(F355,"$#,##0.00")))</f>
        <v>none seen</v>
      </c>
      <c r="H355" s="5" t="s">
        <v>1610</v>
      </c>
      <c r="I355" s="5" t="s">
        <v>776</v>
      </c>
    </row>
    <row r="356" customFormat="false" ht="15" hidden="false" customHeight="false" outlineLevel="0" collapsed="false">
      <c r="A356" s="5" t="s">
        <v>1443</v>
      </c>
      <c r="B356" s="5"/>
      <c r="C356" s="5" t="n">
        <f aca="false">COUNTIF('Observed lines'!$F$2:$F$36,A356)</f>
        <v>0</v>
      </c>
      <c r="D356" s="5" t="n">
        <f aca="false">COUNTIFS('Observed lines'!$F$2:$F$36,A356,'Observed lines'!$G$2:$G$36,"&lt;&gt;")</f>
        <v>0</v>
      </c>
      <c r="E356" s="8" t="str">
        <f aca="false">IF(D356=0,"",_xlfn.MINIFS('Observed lines'!$G$2:$G$36,'Observed lines'!$F$2:$F$36,A356))</f>
        <v/>
      </c>
      <c r="F356" s="8" t="str">
        <f aca="false">IF(D356=0,"",_xlfn.MAXIFS('Observed lines'!$G$2:$G$36,'Observed lines'!$F$2:$F$36,A356))</f>
        <v/>
      </c>
      <c r="G356" s="5" t="str">
        <f aca="false">IF(D356=0,"none seen",IF(E356=F356,TEXT(E356,"$#,##0.00"),TEXT(E356,"$#,##0.00")&amp;" – "&amp;TEXT(F356,"$#,##0.00")))</f>
        <v>none seen</v>
      </c>
      <c r="H356" s="5" t="s">
        <v>1610</v>
      </c>
      <c r="I356" s="5" t="s">
        <v>776</v>
      </c>
    </row>
    <row r="357" customFormat="false" ht="15" hidden="false" customHeight="false" outlineLevel="0" collapsed="false">
      <c r="A357" s="5" t="s">
        <v>1444</v>
      </c>
      <c r="B357" s="5"/>
      <c r="C357" s="5" t="n">
        <f aca="false">COUNTIF('Observed lines'!$F$2:$F$36,A357)</f>
        <v>0</v>
      </c>
      <c r="D357" s="5" t="n">
        <f aca="false">COUNTIFS('Observed lines'!$F$2:$F$36,A357,'Observed lines'!$G$2:$G$36,"&lt;&gt;")</f>
        <v>0</v>
      </c>
      <c r="E357" s="8" t="str">
        <f aca="false">IF(D357=0,"",_xlfn.MINIFS('Observed lines'!$G$2:$G$36,'Observed lines'!$F$2:$F$36,A357))</f>
        <v/>
      </c>
      <c r="F357" s="8" t="str">
        <f aca="false">IF(D357=0,"",_xlfn.MAXIFS('Observed lines'!$G$2:$G$36,'Observed lines'!$F$2:$F$36,A357))</f>
        <v/>
      </c>
      <c r="G357" s="5" t="str">
        <f aca="false">IF(D357=0,"none seen",IF(E357=F357,TEXT(E357,"$#,##0.00"),TEXT(E357,"$#,##0.00")&amp;" – "&amp;TEXT(F357,"$#,##0.00")))</f>
        <v>none seen</v>
      </c>
      <c r="H357" s="5" t="s">
        <v>1610</v>
      </c>
      <c r="I357" s="5" t="s">
        <v>776</v>
      </c>
    </row>
    <row r="358" customFormat="false" ht="15" hidden="false" customHeight="false" outlineLevel="0" collapsed="false">
      <c r="A358" s="5" t="s">
        <v>1445</v>
      </c>
      <c r="B358" s="5"/>
      <c r="C358" s="5" t="n">
        <f aca="false">COUNTIF('Observed lines'!$F$2:$F$36,A358)</f>
        <v>0</v>
      </c>
      <c r="D358" s="5" t="n">
        <f aca="false">COUNTIFS('Observed lines'!$F$2:$F$36,A358,'Observed lines'!$G$2:$G$36,"&lt;&gt;")</f>
        <v>0</v>
      </c>
      <c r="E358" s="8" t="str">
        <f aca="false">IF(D358=0,"",_xlfn.MINIFS('Observed lines'!$G$2:$G$36,'Observed lines'!$F$2:$F$36,A358))</f>
        <v/>
      </c>
      <c r="F358" s="8" t="str">
        <f aca="false">IF(D358=0,"",_xlfn.MAXIFS('Observed lines'!$G$2:$G$36,'Observed lines'!$F$2:$F$36,A358))</f>
        <v/>
      </c>
      <c r="G358" s="5" t="str">
        <f aca="false">IF(D358=0,"none seen",IF(E358=F358,TEXT(E358,"$#,##0.00"),TEXT(E358,"$#,##0.00")&amp;" – "&amp;TEXT(F358,"$#,##0.00")))</f>
        <v>none seen</v>
      </c>
      <c r="H358" s="5" t="s">
        <v>1610</v>
      </c>
      <c r="I358" s="5" t="s">
        <v>776</v>
      </c>
    </row>
    <row r="359" customFormat="false" ht="15" hidden="false" customHeight="false" outlineLevel="0" collapsed="false">
      <c r="A359" s="5" t="s">
        <v>1446</v>
      </c>
      <c r="B359" s="5"/>
      <c r="C359" s="5" t="n">
        <f aca="false">COUNTIF('Observed lines'!$F$2:$F$36,A359)</f>
        <v>0</v>
      </c>
      <c r="D359" s="5" t="n">
        <f aca="false">COUNTIFS('Observed lines'!$F$2:$F$36,A359,'Observed lines'!$G$2:$G$36,"&lt;&gt;")</f>
        <v>0</v>
      </c>
      <c r="E359" s="8" t="str">
        <f aca="false">IF(D359=0,"",_xlfn.MINIFS('Observed lines'!$G$2:$G$36,'Observed lines'!$F$2:$F$36,A359))</f>
        <v/>
      </c>
      <c r="F359" s="8" t="str">
        <f aca="false">IF(D359=0,"",_xlfn.MAXIFS('Observed lines'!$G$2:$G$36,'Observed lines'!$F$2:$F$36,A359))</f>
        <v/>
      </c>
      <c r="G359" s="5" t="str">
        <f aca="false">IF(D359=0,"none seen",IF(E359=F359,TEXT(E359,"$#,##0.00"),TEXT(E359,"$#,##0.00")&amp;" – "&amp;TEXT(F359,"$#,##0.00")))</f>
        <v>none seen</v>
      </c>
      <c r="H359" s="5" t="s">
        <v>1610</v>
      </c>
      <c r="I359" s="5" t="s">
        <v>776</v>
      </c>
    </row>
    <row r="360" customFormat="false" ht="15" hidden="false" customHeight="false" outlineLevel="0" collapsed="false">
      <c r="A360" s="5" t="s">
        <v>1447</v>
      </c>
      <c r="B360" s="5"/>
      <c r="C360" s="5" t="n">
        <f aca="false">COUNTIF('Observed lines'!$F$2:$F$36,A360)</f>
        <v>0</v>
      </c>
      <c r="D360" s="5" t="n">
        <f aca="false">COUNTIFS('Observed lines'!$F$2:$F$36,A360,'Observed lines'!$G$2:$G$36,"&lt;&gt;")</f>
        <v>0</v>
      </c>
      <c r="E360" s="8" t="str">
        <f aca="false">IF(D360=0,"",_xlfn.MINIFS('Observed lines'!$G$2:$G$36,'Observed lines'!$F$2:$F$36,A360))</f>
        <v/>
      </c>
      <c r="F360" s="8" t="str">
        <f aca="false">IF(D360=0,"",_xlfn.MAXIFS('Observed lines'!$G$2:$G$36,'Observed lines'!$F$2:$F$36,A360))</f>
        <v/>
      </c>
      <c r="G360" s="5" t="str">
        <f aca="false">IF(D360=0,"none seen",IF(E360=F360,TEXT(E360,"$#,##0.00"),TEXT(E360,"$#,##0.00")&amp;" – "&amp;TEXT(F360,"$#,##0.00")))</f>
        <v>none seen</v>
      </c>
      <c r="H360" s="5" t="s">
        <v>1610</v>
      </c>
      <c r="I360" s="5" t="s">
        <v>776</v>
      </c>
    </row>
    <row r="361" customFormat="false" ht="15" hidden="false" customHeight="false" outlineLevel="0" collapsed="false">
      <c r="A361" s="5" t="s">
        <v>1448</v>
      </c>
      <c r="B361" s="5"/>
      <c r="C361" s="5" t="n">
        <f aca="false">COUNTIF('Observed lines'!$F$2:$F$36,A361)</f>
        <v>0</v>
      </c>
      <c r="D361" s="5" t="n">
        <f aca="false">COUNTIFS('Observed lines'!$F$2:$F$36,A361,'Observed lines'!$G$2:$G$36,"&lt;&gt;")</f>
        <v>0</v>
      </c>
      <c r="E361" s="8" t="str">
        <f aca="false">IF(D361=0,"",_xlfn.MINIFS('Observed lines'!$G$2:$G$36,'Observed lines'!$F$2:$F$36,A361))</f>
        <v/>
      </c>
      <c r="F361" s="8" t="str">
        <f aca="false">IF(D361=0,"",_xlfn.MAXIFS('Observed lines'!$G$2:$G$36,'Observed lines'!$F$2:$F$36,A361))</f>
        <v/>
      </c>
      <c r="G361" s="5" t="str">
        <f aca="false">IF(D361=0,"none seen",IF(E361=F361,TEXT(E361,"$#,##0.00"),TEXT(E361,"$#,##0.00")&amp;" – "&amp;TEXT(F361,"$#,##0.00")))</f>
        <v>none seen</v>
      </c>
      <c r="H361" s="5" t="s">
        <v>1610</v>
      </c>
      <c r="I361" s="5" t="s">
        <v>776</v>
      </c>
    </row>
    <row r="362" customFormat="false" ht="15" hidden="false" customHeight="false" outlineLevel="0" collapsed="false">
      <c r="A362" s="5" t="s">
        <v>1449</v>
      </c>
      <c r="B362" s="5"/>
      <c r="C362" s="5" t="n">
        <f aca="false">COUNTIF('Observed lines'!$F$2:$F$36,A362)</f>
        <v>0</v>
      </c>
      <c r="D362" s="5" t="n">
        <f aca="false">COUNTIFS('Observed lines'!$F$2:$F$36,A362,'Observed lines'!$G$2:$G$36,"&lt;&gt;")</f>
        <v>0</v>
      </c>
      <c r="E362" s="8" t="str">
        <f aca="false">IF(D362=0,"",_xlfn.MINIFS('Observed lines'!$G$2:$G$36,'Observed lines'!$F$2:$F$36,A362))</f>
        <v/>
      </c>
      <c r="F362" s="8" t="str">
        <f aca="false">IF(D362=0,"",_xlfn.MAXIFS('Observed lines'!$G$2:$G$36,'Observed lines'!$F$2:$F$36,A362))</f>
        <v/>
      </c>
      <c r="G362" s="5" t="str">
        <f aca="false">IF(D362=0,"none seen",IF(E362=F362,TEXT(E362,"$#,##0.00"),TEXT(E362,"$#,##0.00")&amp;" – "&amp;TEXT(F362,"$#,##0.00")))</f>
        <v>none seen</v>
      </c>
      <c r="H362" s="5" t="s">
        <v>1610</v>
      </c>
      <c r="I362" s="5" t="s">
        <v>776</v>
      </c>
    </row>
    <row r="363" customFormat="false" ht="15" hidden="false" customHeight="false" outlineLevel="0" collapsed="false">
      <c r="A363" s="5" t="s">
        <v>1450</v>
      </c>
      <c r="B363" s="5"/>
      <c r="C363" s="5" t="n">
        <f aca="false">COUNTIF('Observed lines'!$F$2:$F$36,A363)</f>
        <v>0</v>
      </c>
      <c r="D363" s="5" t="n">
        <f aca="false">COUNTIFS('Observed lines'!$F$2:$F$36,A363,'Observed lines'!$G$2:$G$36,"&lt;&gt;")</f>
        <v>0</v>
      </c>
      <c r="E363" s="8" t="str">
        <f aca="false">IF(D363=0,"",_xlfn.MINIFS('Observed lines'!$G$2:$G$36,'Observed lines'!$F$2:$F$36,A363))</f>
        <v/>
      </c>
      <c r="F363" s="8" t="str">
        <f aca="false">IF(D363=0,"",_xlfn.MAXIFS('Observed lines'!$G$2:$G$36,'Observed lines'!$F$2:$F$36,A363))</f>
        <v/>
      </c>
      <c r="G363" s="5" t="str">
        <f aca="false">IF(D363=0,"none seen",IF(E363=F363,TEXT(E363,"$#,##0.00"),TEXT(E363,"$#,##0.00")&amp;" – "&amp;TEXT(F363,"$#,##0.00")))</f>
        <v>none seen</v>
      </c>
      <c r="H363" s="5" t="s">
        <v>1610</v>
      </c>
      <c r="I363" s="5" t="s">
        <v>776</v>
      </c>
    </row>
    <row r="364" customFormat="false" ht="15" hidden="false" customHeight="false" outlineLevel="0" collapsed="false">
      <c r="A364" s="5" t="s">
        <v>1451</v>
      </c>
      <c r="B364" s="5"/>
      <c r="C364" s="5" t="n">
        <f aca="false">COUNTIF('Observed lines'!$F$2:$F$36,A364)</f>
        <v>0</v>
      </c>
      <c r="D364" s="5" t="n">
        <f aca="false">COUNTIFS('Observed lines'!$F$2:$F$36,A364,'Observed lines'!$G$2:$G$36,"&lt;&gt;")</f>
        <v>0</v>
      </c>
      <c r="E364" s="8" t="str">
        <f aca="false">IF(D364=0,"",_xlfn.MINIFS('Observed lines'!$G$2:$G$36,'Observed lines'!$F$2:$F$36,A364))</f>
        <v/>
      </c>
      <c r="F364" s="8" t="str">
        <f aca="false">IF(D364=0,"",_xlfn.MAXIFS('Observed lines'!$G$2:$G$36,'Observed lines'!$F$2:$F$36,A364))</f>
        <v/>
      </c>
      <c r="G364" s="5" t="str">
        <f aca="false">IF(D364=0,"none seen",IF(E364=F364,TEXT(E364,"$#,##0.00"),TEXT(E364,"$#,##0.00")&amp;" – "&amp;TEXT(F364,"$#,##0.00")))</f>
        <v>none seen</v>
      </c>
      <c r="H364" s="5" t="s">
        <v>1610</v>
      </c>
      <c r="I364" s="5" t="s">
        <v>776</v>
      </c>
    </row>
    <row r="365" customFormat="false" ht="15" hidden="false" customHeight="false" outlineLevel="0" collapsed="false">
      <c r="A365" s="5" t="s">
        <v>1452</v>
      </c>
      <c r="B365" s="5"/>
      <c r="C365" s="5" t="n">
        <f aca="false">COUNTIF('Observed lines'!$F$2:$F$36,A365)</f>
        <v>0</v>
      </c>
      <c r="D365" s="5" t="n">
        <f aca="false">COUNTIFS('Observed lines'!$F$2:$F$36,A365,'Observed lines'!$G$2:$G$36,"&lt;&gt;")</f>
        <v>0</v>
      </c>
      <c r="E365" s="8" t="str">
        <f aca="false">IF(D365=0,"",_xlfn.MINIFS('Observed lines'!$G$2:$G$36,'Observed lines'!$F$2:$F$36,A365))</f>
        <v/>
      </c>
      <c r="F365" s="8" t="str">
        <f aca="false">IF(D365=0,"",_xlfn.MAXIFS('Observed lines'!$G$2:$G$36,'Observed lines'!$F$2:$F$36,A365))</f>
        <v/>
      </c>
      <c r="G365" s="5" t="str">
        <f aca="false">IF(D365=0,"none seen",IF(E365=F365,TEXT(E365,"$#,##0.00"),TEXT(E365,"$#,##0.00")&amp;" – "&amp;TEXT(F365,"$#,##0.00")))</f>
        <v>none seen</v>
      </c>
      <c r="H365" s="5" t="s">
        <v>1610</v>
      </c>
      <c r="I365" s="5" t="s">
        <v>776</v>
      </c>
    </row>
    <row r="366" customFormat="false" ht="15" hidden="false" customHeight="false" outlineLevel="0" collapsed="false">
      <c r="A366" s="5" t="s">
        <v>1453</v>
      </c>
      <c r="B366" s="5"/>
      <c r="C366" s="5" t="n">
        <f aca="false">COUNTIF('Observed lines'!$F$2:$F$36,A366)</f>
        <v>0</v>
      </c>
      <c r="D366" s="5" t="n">
        <f aca="false">COUNTIFS('Observed lines'!$F$2:$F$36,A366,'Observed lines'!$G$2:$G$36,"&lt;&gt;")</f>
        <v>0</v>
      </c>
      <c r="E366" s="8" t="str">
        <f aca="false">IF(D366=0,"",_xlfn.MINIFS('Observed lines'!$G$2:$G$36,'Observed lines'!$F$2:$F$36,A366))</f>
        <v/>
      </c>
      <c r="F366" s="8" t="str">
        <f aca="false">IF(D366=0,"",_xlfn.MAXIFS('Observed lines'!$G$2:$G$36,'Observed lines'!$F$2:$F$36,A366))</f>
        <v/>
      </c>
      <c r="G366" s="5" t="str">
        <f aca="false">IF(D366=0,"none seen",IF(E366=F366,TEXT(E366,"$#,##0.00"),TEXT(E366,"$#,##0.00")&amp;" – "&amp;TEXT(F366,"$#,##0.00")))</f>
        <v>none seen</v>
      </c>
      <c r="H366" s="5" t="s">
        <v>1610</v>
      </c>
      <c r="I366" s="5" t="s">
        <v>776</v>
      </c>
    </row>
    <row r="367" customFormat="false" ht="15" hidden="false" customHeight="false" outlineLevel="0" collapsed="false">
      <c r="A367" s="5" t="s">
        <v>1454</v>
      </c>
      <c r="B367" s="5"/>
      <c r="C367" s="5" t="n">
        <f aca="false">COUNTIF('Observed lines'!$F$2:$F$36,A367)</f>
        <v>0</v>
      </c>
      <c r="D367" s="5" t="n">
        <f aca="false">COUNTIFS('Observed lines'!$F$2:$F$36,A367,'Observed lines'!$G$2:$G$36,"&lt;&gt;")</f>
        <v>0</v>
      </c>
      <c r="E367" s="8" t="str">
        <f aca="false">IF(D367=0,"",_xlfn.MINIFS('Observed lines'!$G$2:$G$36,'Observed lines'!$F$2:$F$36,A367))</f>
        <v/>
      </c>
      <c r="F367" s="8" t="str">
        <f aca="false">IF(D367=0,"",_xlfn.MAXIFS('Observed lines'!$G$2:$G$36,'Observed lines'!$F$2:$F$36,A367))</f>
        <v/>
      </c>
      <c r="G367" s="5" t="str">
        <f aca="false">IF(D367=0,"none seen",IF(E367=F367,TEXT(E367,"$#,##0.00"),TEXT(E367,"$#,##0.00")&amp;" – "&amp;TEXT(F367,"$#,##0.00")))</f>
        <v>none seen</v>
      </c>
      <c r="H367" s="5" t="s">
        <v>1610</v>
      </c>
      <c r="I367" s="5" t="s">
        <v>776</v>
      </c>
    </row>
    <row r="368" customFormat="false" ht="15" hidden="false" customHeight="false" outlineLevel="0" collapsed="false">
      <c r="A368" s="5" t="s">
        <v>1455</v>
      </c>
      <c r="B368" s="5"/>
      <c r="C368" s="5" t="n">
        <f aca="false">COUNTIF('Observed lines'!$F$2:$F$36,A368)</f>
        <v>0</v>
      </c>
      <c r="D368" s="5" t="n">
        <f aca="false">COUNTIFS('Observed lines'!$F$2:$F$36,A368,'Observed lines'!$G$2:$G$36,"&lt;&gt;")</f>
        <v>0</v>
      </c>
      <c r="E368" s="8" t="str">
        <f aca="false">IF(D368=0,"",_xlfn.MINIFS('Observed lines'!$G$2:$G$36,'Observed lines'!$F$2:$F$36,A368))</f>
        <v/>
      </c>
      <c r="F368" s="8" t="str">
        <f aca="false">IF(D368=0,"",_xlfn.MAXIFS('Observed lines'!$G$2:$G$36,'Observed lines'!$F$2:$F$36,A368))</f>
        <v/>
      </c>
      <c r="G368" s="5" t="str">
        <f aca="false">IF(D368=0,"none seen",IF(E368=F368,TEXT(E368,"$#,##0.00"),TEXT(E368,"$#,##0.00")&amp;" – "&amp;TEXT(F368,"$#,##0.00")))</f>
        <v>none seen</v>
      </c>
      <c r="H368" s="5" t="s">
        <v>1610</v>
      </c>
      <c r="I368" s="5" t="s">
        <v>776</v>
      </c>
    </row>
    <row r="369" customFormat="false" ht="15" hidden="false" customHeight="false" outlineLevel="0" collapsed="false">
      <c r="A369" s="5" t="s">
        <v>1456</v>
      </c>
      <c r="B369" s="5"/>
      <c r="C369" s="5" t="n">
        <f aca="false">COUNTIF('Observed lines'!$F$2:$F$36,A369)</f>
        <v>0</v>
      </c>
      <c r="D369" s="5" t="n">
        <f aca="false">COUNTIFS('Observed lines'!$F$2:$F$36,A369,'Observed lines'!$G$2:$G$36,"&lt;&gt;")</f>
        <v>0</v>
      </c>
      <c r="E369" s="8" t="str">
        <f aca="false">IF(D369=0,"",_xlfn.MINIFS('Observed lines'!$G$2:$G$36,'Observed lines'!$F$2:$F$36,A369))</f>
        <v/>
      </c>
      <c r="F369" s="8" t="str">
        <f aca="false">IF(D369=0,"",_xlfn.MAXIFS('Observed lines'!$G$2:$G$36,'Observed lines'!$F$2:$F$36,A369))</f>
        <v/>
      </c>
      <c r="G369" s="5" t="str">
        <f aca="false">IF(D369=0,"none seen",IF(E369=F369,TEXT(E369,"$#,##0.00"),TEXT(E369,"$#,##0.00")&amp;" – "&amp;TEXT(F369,"$#,##0.00")))</f>
        <v>none seen</v>
      </c>
      <c r="H369" s="5" t="s">
        <v>1610</v>
      </c>
      <c r="I369" s="5" t="s">
        <v>776</v>
      </c>
    </row>
    <row r="370" customFormat="false" ht="15" hidden="false" customHeight="false" outlineLevel="0" collapsed="false">
      <c r="A370" s="5" t="s">
        <v>1457</v>
      </c>
      <c r="B370" s="5"/>
      <c r="C370" s="5" t="n">
        <f aca="false">COUNTIF('Observed lines'!$F$2:$F$36,A370)</f>
        <v>0</v>
      </c>
      <c r="D370" s="5" t="n">
        <f aca="false">COUNTIFS('Observed lines'!$F$2:$F$36,A370,'Observed lines'!$G$2:$G$36,"&lt;&gt;")</f>
        <v>0</v>
      </c>
      <c r="E370" s="8" t="str">
        <f aca="false">IF(D370=0,"",_xlfn.MINIFS('Observed lines'!$G$2:$G$36,'Observed lines'!$F$2:$F$36,A370))</f>
        <v/>
      </c>
      <c r="F370" s="8" t="str">
        <f aca="false">IF(D370=0,"",_xlfn.MAXIFS('Observed lines'!$G$2:$G$36,'Observed lines'!$F$2:$F$36,A370))</f>
        <v/>
      </c>
      <c r="G370" s="5" t="str">
        <f aca="false">IF(D370=0,"none seen",IF(E370=F370,TEXT(E370,"$#,##0.00"),TEXT(E370,"$#,##0.00")&amp;" – "&amp;TEXT(F370,"$#,##0.00")))</f>
        <v>none seen</v>
      </c>
      <c r="H370" s="5" t="s">
        <v>1610</v>
      </c>
      <c r="I370" s="5" t="s">
        <v>776</v>
      </c>
    </row>
    <row r="371" customFormat="false" ht="15" hidden="false" customHeight="false" outlineLevel="0" collapsed="false">
      <c r="A371" s="5" t="s">
        <v>1458</v>
      </c>
      <c r="B371" s="5"/>
      <c r="C371" s="5" t="n">
        <f aca="false">COUNTIF('Observed lines'!$F$2:$F$36,A371)</f>
        <v>0</v>
      </c>
      <c r="D371" s="5" t="n">
        <f aca="false">COUNTIFS('Observed lines'!$F$2:$F$36,A371,'Observed lines'!$G$2:$G$36,"&lt;&gt;")</f>
        <v>0</v>
      </c>
      <c r="E371" s="8" t="str">
        <f aca="false">IF(D371=0,"",_xlfn.MINIFS('Observed lines'!$G$2:$G$36,'Observed lines'!$F$2:$F$36,A371))</f>
        <v/>
      </c>
      <c r="F371" s="8" t="str">
        <f aca="false">IF(D371=0,"",_xlfn.MAXIFS('Observed lines'!$G$2:$G$36,'Observed lines'!$F$2:$F$36,A371))</f>
        <v/>
      </c>
      <c r="G371" s="5" t="str">
        <f aca="false">IF(D371=0,"none seen",IF(E371=F371,TEXT(E371,"$#,##0.00"),TEXT(E371,"$#,##0.00")&amp;" – "&amp;TEXT(F371,"$#,##0.00")))</f>
        <v>none seen</v>
      </c>
      <c r="H371" s="5" t="s">
        <v>1610</v>
      </c>
      <c r="I371" s="5" t="s">
        <v>776</v>
      </c>
    </row>
    <row r="372" customFormat="false" ht="15" hidden="false" customHeight="false" outlineLevel="0" collapsed="false">
      <c r="A372" s="5" t="s">
        <v>1459</v>
      </c>
      <c r="B372" s="5"/>
      <c r="C372" s="5" t="n">
        <f aca="false">COUNTIF('Observed lines'!$F$2:$F$36,A372)</f>
        <v>0</v>
      </c>
      <c r="D372" s="5" t="n">
        <f aca="false">COUNTIFS('Observed lines'!$F$2:$F$36,A372,'Observed lines'!$G$2:$G$36,"&lt;&gt;")</f>
        <v>0</v>
      </c>
      <c r="E372" s="8" t="str">
        <f aca="false">IF(D372=0,"",_xlfn.MINIFS('Observed lines'!$G$2:$G$36,'Observed lines'!$F$2:$F$36,A372))</f>
        <v/>
      </c>
      <c r="F372" s="8" t="str">
        <f aca="false">IF(D372=0,"",_xlfn.MAXIFS('Observed lines'!$G$2:$G$36,'Observed lines'!$F$2:$F$36,A372))</f>
        <v/>
      </c>
      <c r="G372" s="5" t="str">
        <f aca="false">IF(D372=0,"none seen",IF(E372=F372,TEXT(E372,"$#,##0.00"),TEXT(E372,"$#,##0.00")&amp;" – "&amp;TEXT(F372,"$#,##0.00")))</f>
        <v>none seen</v>
      </c>
      <c r="H372" s="5" t="s">
        <v>1610</v>
      </c>
      <c r="I372" s="5" t="s">
        <v>776</v>
      </c>
    </row>
    <row r="373" customFormat="false" ht="15" hidden="false" customHeight="false" outlineLevel="0" collapsed="false">
      <c r="A373" s="5" t="s">
        <v>1460</v>
      </c>
      <c r="B373" s="5"/>
      <c r="C373" s="5" t="n">
        <f aca="false">COUNTIF('Observed lines'!$F$2:$F$36,A373)</f>
        <v>0</v>
      </c>
      <c r="D373" s="5" t="n">
        <f aca="false">COUNTIFS('Observed lines'!$F$2:$F$36,A373,'Observed lines'!$G$2:$G$36,"&lt;&gt;")</f>
        <v>0</v>
      </c>
      <c r="E373" s="8" t="str">
        <f aca="false">IF(D373=0,"",_xlfn.MINIFS('Observed lines'!$G$2:$G$36,'Observed lines'!$F$2:$F$36,A373))</f>
        <v/>
      </c>
      <c r="F373" s="8" t="str">
        <f aca="false">IF(D373=0,"",_xlfn.MAXIFS('Observed lines'!$G$2:$G$36,'Observed lines'!$F$2:$F$36,A373))</f>
        <v/>
      </c>
      <c r="G373" s="5" t="str">
        <f aca="false">IF(D373=0,"none seen",IF(E373=F373,TEXT(E373,"$#,##0.00"),TEXT(E373,"$#,##0.00")&amp;" – "&amp;TEXT(F373,"$#,##0.00")))</f>
        <v>none seen</v>
      </c>
      <c r="H373" s="5" t="s">
        <v>1610</v>
      </c>
      <c r="I373" s="5" t="s">
        <v>776</v>
      </c>
    </row>
    <row r="374" customFormat="false" ht="15" hidden="false" customHeight="false" outlineLevel="0" collapsed="false">
      <c r="A374" s="5" t="s">
        <v>1461</v>
      </c>
      <c r="B374" s="5"/>
      <c r="C374" s="5" t="n">
        <f aca="false">COUNTIF('Observed lines'!$F$2:$F$36,A374)</f>
        <v>0</v>
      </c>
      <c r="D374" s="5" t="n">
        <f aca="false">COUNTIFS('Observed lines'!$F$2:$F$36,A374,'Observed lines'!$G$2:$G$36,"&lt;&gt;")</f>
        <v>0</v>
      </c>
      <c r="E374" s="8" t="str">
        <f aca="false">IF(D374=0,"",_xlfn.MINIFS('Observed lines'!$G$2:$G$36,'Observed lines'!$F$2:$F$36,A374))</f>
        <v/>
      </c>
      <c r="F374" s="8" t="str">
        <f aca="false">IF(D374=0,"",_xlfn.MAXIFS('Observed lines'!$G$2:$G$36,'Observed lines'!$F$2:$F$36,A374))</f>
        <v/>
      </c>
      <c r="G374" s="5" t="str">
        <f aca="false">IF(D374=0,"none seen",IF(E374=F374,TEXT(E374,"$#,##0.00"),TEXT(E374,"$#,##0.00")&amp;" – "&amp;TEXT(F374,"$#,##0.00")))</f>
        <v>none seen</v>
      </c>
      <c r="H374" s="5" t="s">
        <v>1610</v>
      </c>
      <c r="I374" s="5" t="s">
        <v>776</v>
      </c>
    </row>
    <row r="376" customFormat="false" ht="79.85" hidden="false" customHeight="false" outlineLevel="0" collapsed="false">
      <c r="A376" s="2" t="s">
        <v>1509</v>
      </c>
      <c r="B376" s="3" t="s">
        <v>1612</v>
      </c>
    </row>
  </sheetData>
  <autoFilter ref="A1:I37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55"/>
    <col collapsed="false" customWidth="true" hidden="false" outlineLevel="0" max="4" min="3" style="0" width="8"/>
    <col collapsed="false" customWidth="true" hidden="false" outlineLevel="0" max="5" min="5" style="0" width="9"/>
    <col collapsed="false" customWidth="true" hidden="false" outlineLevel="0" max="6" min="6" style="0" width="16"/>
    <col collapsed="false" customWidth="true" hidden="false" outlineLevel="0" max="7" min="7" style="0" width="60"/>
  </cols>
  <sheetData>
    <row r="1" customFormat="false" ht="30" hidden="false" customHeight="true" outlineLevel="0" collapsed="false">
      <c r="A1" s="4" t="s">
        <v>1613</v>
      </c>
      <c r="B1" s="4" t="s">
        <v>1614</v>
      </c>
      <c r="C1" s="4" t="s">
        <v>1551</v>
      </c>
      <c r="D1" s="4" t="s">
        <v>1615</v>
      </c>
      <c r="E1" s="4" t="s">
        <v>1616</v>
      </c>
      <c r="F1" s="4" t="s">
        <v>1617</v>
      </c>
      <c r="G1" s="4" t="s">
        <v>1618</v>
      </c>
    </row>
    <row r="2" customFormat="false" ht="23.85" hidden="false" customHeight="false" outlineLevel="0" collapsed="false">
      <c r="A2" s="5" t="s">
        <v>222</v>
      </c>
      <c r="B2" s="5" t="s">
        <v>207</v>
      </c>
      <c r="C2" s="5" t="n">
        <v>4</v>
      </c>
      <c r="D2" s="5" t="n">
        <v>4</v>
      </c>
      <c r="E2" s="9" t="n">
        <f aca="false">IF(OR(C2="",D2=""),"",C2/D2)</f>
        <v>1</v>
      </c>
      <c r="F2" s="5" t="s">
        <v>1619</v>
      </c>
      <c r="G2" s="5" t="s">
        <v>1620</v>
      </c>
    </row>
    <row r="3" customFormat="false" ht="15" hidden="false" customHeight="false" outlineLevel="0" collapsed="false">
      <c r="A3" s="5" t="s">
        <v>232</v>
      </c>
      <c r="B3" s="5" t="s">
        <v>801</v>
      </c>
      <c r="C3" s="5" t="n">
        <v>3</v>
      </c>
      <c r="D3" s="5" t="n">
        <v>4</v>
      </c>
      <c r="E3" s="9" t="n">
        <f aca="false">IF(OR(C3="",D3=""),"",C3/D3)</f>
        <v>0.75</v>
      </c>
      <c r="F3" s="5" t="s">
        <v>1619</v>
      </c>
      <c r="G3" s="5" t="s">
        <v>1621</v>
      </c>
    </row>
    <row r="4" customFormat="false" ht="15" hidden="false" customHeight="false" outlineLevel="0" collapsed="false">
      <c r="A4" s="5" t="s">
        <v>232</v>
      </c>
      <c r="B4" s="5" t="s">
        <v>799</v>
      </c>
      <c r="C4" s="5" t="n">
        <v>1</v>
      </c>
      <c r="D4" s="5" t="n">
        <v>4</v>
      </c>
      <c r="E4" s="9" t="n">
        <f aca="false">IF(OR(C4="",D4=""),"",C4/D4)</f>
        <v>0.25</v>
      </c>
      <c r="F4" s="5" t="s">
        <v>1619</v>
      </c>
      <c r="G4" s="5" t="s">
        <v>1621</v>
      </c>
    </row>
    <row r="5" customFormat="false" ht="15" hidden="false" customHeight="false" outlineLevel="0" collapsed="false">
      <c r="A5" s="5" t="s">
        <v>1622</v>
      </c>
      <c r="B5" s="5" t="s">
        <v>1623</v>
      </c>
      <c r="C5" s="5" t="n">
        <v>3</v>
      </c>
      <c r="D5" s="5" t="n">
        <v>4</v>
      </c>
      <c r="E5" s="9" t="n">
        <f aca="false">IF(OR(C5="",D5=""),"",C5/D5)</f>
        <v>0.75</v>
      </c>
      <c r="F5" s="5" t="s">
        <v>1619</v>
      </c>
      <c r="G5" s="5" t="s">
        <v>1624</v>
      </c>
    </row>
    <row r="6" customFormat="false" ht="15" hidden="false" customHeight="false" outlineLevel="0" collapsed="false">
      <c r="A6" s="5" t="s">
        <v>1622</v>
      </c>
      <c r="B6" s="5" t="s">
        <v>1625</v>
      </c>
      <c r="C6" s="5" t="n">
        <v>1</v>
      </c>
      <c r="D6" s="5" t="n">
        <v>4</v>
      </c>
      <c r="E6" s="9" t="n">
        <f aca="false">IF(OR(C6="",D6=""),"",C6/D6)</f>
        <v>0.25</v>
      </c>
      <c r="F6" s="5" t="s">
        <v>1619</v>
      </c>
      <c r="G6" s="5" t="s">
        <v>1624</v>
      </c>
    </row>
    <row r="7" customFormat="false" ht="15" hidden="false" customHeight="false" outlineLevel="0" collapsed="false">
      <c r="A7" s="5" t="s">
        <v>1626</v>
      </c>
      <c r="B7" s="5" t="s">
        <v>267</v>
      </c>
      <c r="C7" s="5" t="n">
        <v>4</v>
      </c>
      <c r="D7" s="5" t="n">
        <v>4</v>
      </c>
      <c r="E7" s="9" t="n">
        <f aca="false">IF(OR(C7="",D7=""),"",C7/D7)</f>
        <v>1</v>
      </c>
      <c r="F7" s="5" t="s">
        <v>1619</v>
      </c>
      <c r="G7" s="5" t="s">
        <v>1627</v>
      </c>
    </row>
    <row r="8" customFormat="false" ht="15" hidden="false" customHeight="false" outlineLevel="0" collapsed="false">
      <c r="A8" s="5" t="s">
        <v>281</v>
      </c>
      <c r="B8" s="5" t="s">
        <v>1628</v>
      </c>
      <c r="C8" s="5" t="n">
        <v>2</v>
      </c>
      <c r="D8" s="5" t="n">
        <v>4</v>
      </c>
      <c r="E8" s="9" t="n">
        <f aca="false">IF(OR(C8="",D8=""),"",C8/D8)</f>
        <v>0.5</v>
      </c>
      <c r="F8" s="5" t="s">
        <v>1619</v>
      </c>
      <c r="G8" s="5" t="s">
        <v>1629</v>
      </c>
    </row>
    <row r="9" customFormat="false" ht="15" hidden="false" customHeight="false" outlineLevel="0" collapsed="false">
      <c r="A9" s="5" t="s">
        <v>281</v>
      </c>
      <c r="B9" s="5" t="s">
        <v>1630</v>
      </c>
      <c r="C9" s="5" t="n">
        <v>2</v>
      </c>
      <c r="D9" s="5" t="n">
        <v>4</v>
      </c>
      <c r="E9" s="9" t="n">
        <f aca="false">IF(OR(C9="",D9=""),"",C9/D9)</f>
        <v>0.5</v>
      </c>
      <c r="F9" s="5" t="s">
        <v>1619</v>
      </c>
      <c r="G9" s="5" t="s">
        <v>1629</v>
      </c>
    </row>
    <row r="10" customFormat="false" ht="15" hidden="false" customHeight="false" outlineLevel="0" collapsed="false">
      <c r="A10" s="5" t="s">
        <v>1631</v>
      </c>
      <c r="B10" s="5" t="s">
        <v>1632</v>
      </c>
      <c r="C10" s="5" t="n">
        <v>2</v>
      </c>
      <c r="D10" s="5" t="n">
        <v>4</v>
      </c>
      <c r="E10" s="9" t="n">
        <f aca="false">IF(OR(C10="",D10=""),"",C10/D10)</f>
        <v>0.5</v>
      </c>
      <c r="F10" s="5" t="s">
        <v>1619</v>
      </c>
      <c r="G10" s="5" t="s">
        <v>1633</v>
      </c>
    </row>
    <row r="11" customFormat="false" ht="15" hidden="false" customHeight="false" outlineLevel="0" collapsed="false">
      <c r="A11" s="5" t="s">
        <v>1631</v>
      </c>
      <c r="B11" s="5" t="s">
        <v>1634</v>
      </c>
      <c r="C11" s="5" t="n">
        <v>1</v>
      </c>
      <c r="D11" s="5" t="n">
        <v>4</v>
      </c>
      <c r="E11" s="9" t="n">
        <f aca="false">IF(OR(C11="",D11=""),"",C11/D11)</f>
        <v>0.25</v>
      </c>
      <c r="F11" s="5" t="s">
        <v>1619</v>
      </c>
      <c r="G11" s="5" t="s">
        <v>1633</v>
      </c>
    </row>
    <row r="12" customFormat="false" ht="15" hidden="false" customHeight="false" outlineLevel="0" collapsed="false">
      <c r="A12" s="5" t="s">
        <v>1631</v>
      </c>
      <c r="B12" s="5" t="s">
        <v>1635</v>
      </c>
      <c r="C12" s="5" t="n">
        <v>1</v>
      </c>
      <c r="D12" s="5" t="n">
        <v>4</v>
      </c>
      <c r="E12" s="9" t="n">
        <f aca="false">IF(OR(C12="",D12=""),"",C12/D12)</f>
        <v>0.25</v>
      </c>
      <c r="F12" s="5" t="s">
        <v>1619</v>
      </c>
      <c r="G12" s="5" t="s">
        <v>1633</v>
      </c>
    </row>
    <row r="13" customFormat="false" ht="15" hidden="false" customHeight="false" outlineLevel="0" collapsed="false">
      <c r="A13" s="5" t="s">
        <v>1636</v>
      </c>
      <c r="B13" s="5" t="s">
        <v>207</v>
      </c>
      <c r="C13" s="5" t="n">
        <v>4</v>
      </c>
      <c r="D13" s="5" t="n">
        <v>4</v>
      </c>
      <c r="E13" s="9" t="n">
        <f aca="false">IF(OR(C13="",D13=""),"",C13/D13)</f>
        <v>1</v>
      </c>
      <c r="F13" s="5" t="s">
        <v>1619</v>
      </c>
      <c r="G13" s="5" t="s">
        <v>1620</v>
      </c>
    </row>
    <row r="14" customFormat="false" ht="15" hidden="false" customHeight="false" outlineLevel="0" collapsed="false">
      <c r="A14" s="5" t="s">
        <v>329</v>
      </c>
      <c r="B14" s="5" t="s">
        <v>332</v>
      </c>
      <c r="C14" s="5" t="n">
        <v>3</v>
      </c>
      <c r="D14" s="5" t="n">
        <v>4</v>
      </c>
      <c r="E14" s="9" t="n">
        <f aca="false">IF(OR(C14="",D14=""),"",C14/D14)</f>
        <v>0.75</v>
      </c>
      <c r="F14" s="5" t="s">
        <v>1619</v>
      </c>
      <c r="G14" s="5" t="s">
        <v>1637</v>
      </c>
    </row>
    <row r="15" customFormat="false" ht="23.85" hidden="false" customHeight="false" outlineLevel="0" collapsed="false">
      <c r="A15" s="5" t="s">
        <v>329</v>
      </c>
      <c r="B15" s="5" t="s">
        <v>1638</v>
      </c>
      <c r="C15" s="5" t="n">
        <v>1</v>
      </c>
      <c r="D15" s="5" t="n">
        <v>4</v>
      </c>
      <c r="E15" s="9" t="n">
        <f aca="false">IF(OR(C15="",D15=""),"",C15/D15)</f>
        <v>0.25</v>
      </c>
      <c r="F15" s="5" t="s">
        <v>1619</v>
      </c>
      <c r="G15" s="5" t="s">
        <v>1639</v>
      </c>
    </row>
    <row r="16" customFormat="false" ht="15" hidden="false" customHeight="false" outlineLevel="0" collapsed="false">
      <c r="A16" s="5" t="s">
        <v>1640</v>
      </c>
      <c r="B16" s="5" t="s">
        <v>1641</v>
      </c>
      <c r="C16" s="5" t="n">
        <v>3</v>
      </c>
      <c r="D16" s="5" t="n">
        <v>4</v>
      </c>
      <c r="E16" s="9" t="n">
        <f aca="false">IF(OR(C16="",D16=""),"",C16/D16)</f>
        <v>0.75</v>
      </c>
      <c r="F16" s="5" t="s">
        <v>1619</v>
      </c>
      <c r="G16" s="5" t="s">
        <v>1642</v>
      </c>
    </row>
    <row r="17" customFormat="false" ht="15" hidden="false" customHeight="false" outlineLevel="0" collapsed="false">
      <c r="A17" s="5" t="s">
        <v>1640</v>
      </c>
      <c r="B17" s="5" t="s">
        <v>1575</v>
      </c>
      <c r="C17" s="5" t="n">
        <v>1</v>
      </c>
      <c r="D17" s="5" t="n">
        <v>4</v>
      </c>
      <c r="E17" s="9" t="n">
        <f aca="false">IF(OR(C17="",D17=""),"",C17/D17)</f>
        <v>0.25</v>
      </c>
      <c r="F17" s="5" t="s">
        <v>1619</v>
      </c>
      <c r="G17" s="5" t="s">
        <v>1643</v>
      </c>
    </row>
    <row r="18" customFormat="false" ht="15" hidden="false" customHeight="false" outlineLevel="0" collapsed="false">
      <c r="A18" s="5" t="s">
        <v>1644</v>
      </c>
      <c r="B18" s="5" t="s">
        <v>1569</v>
      </c>
      <c r="C18" s="5" t="n">
        <v>1</v>
      </c>
      <c r="D18" s="5" t="n">
        <v>4</v>
      </c>
      <c r="E18" s="9" t="n">
        <f aca="false">IF(OR(C18="",D18=""),"",C18/D18)</f>
        <v>0.25</v>
      </c>
      <c r="F18" s="5" t="s">
        <v>1619</v>
      </c>
      <c r="G18" s="5" t="s">
        <v>1645</v>
      </c>
    </row>
    <row r="19" customFormat="false" ht="23.85" hidden="false" customHeight="false" outlineLevel="0" collapsed="false">
      <c r="A19" s="5" t="s">
        <v>1646</v>
      </c>
      <c r="B19" s="5" t="s">
        <v>1647</v>
      </c>
      <c r="C19" s="5" t="n">
        <v>4</v>
      </c>
      <c r="D19" s="5" t="n">
        <v>4</v>
      </c>
      <c r="E19" s="9" t="n">
        <f aca="false">IF(OR(C19="",D19=""),"",C19/D19)</f>
        <v>1</v>
      </c>
      <c r="F19" s="5" t="s">
        <v>1619</v>
      </c>
      <c r="G19" s="5" t="s">
        <v>1648</v>
      </c>
    </row>
    <row r="20" customFormat="false" ht="15" hidden="false" customHeight="false" outlineLevel="0" collapsed="false">
      <c r="A20" s="5" t="s">
        <v>1649</v>
      </c>
      <c r="B20" s="5" t="s">
        <v>1650</v>
      </c>
      <c r="C20" s="5" t="n">
        <v>4</v>
      </c>
      <c r="D20" s="5" t="n">
        <v>4</v>
      </c>
      <c r="E20" s="9" t="n">
        <f aca="false">IF(OR(C20="",D20=""),"",C20/D20)</f>
        <v>1</v>
      </c>
      <c r="F20" s="5" t="s">
        <v>1619</v>
      </c>
      <c r="G20" s="5" t="s">
        <v>1651</v>
      </c>
    </row>
    <row r="21" customFormat="false" ht="15" hidden="false" customHeight="false" outlineLevel="0" collapsed="false">
      <c r="A21" s="5" t="s">
        <v>1652</v>
      </c>
      <c r="B21" s="5" t="s">
        <v>1009</v>
      </c>
      <c r="C21" s="5" t="n">
        <v>1</v>
      </c>
      <c r="D21" s="5" t="n">
        <v>4</v>
      </c>
      <c r="E21" s="9" t="n">
        <f aca="false">IF(OR(C21="",D21=""),"",C21/D21)</f>
        <v>0.25</v>
      </c>
      <c r="F21" s="5" t="s">
        <v>1619</v>
      </c>
      <c r="G21" s="5" t="s">
        <v>1653</v>
      </c>
    </row>
    <row r="22" customFormat="false" ht="15" hidden="false" customHeight="false" outlineLevel="0" collapsed="false">
      <c r="A22" s="5" t="s">
        <v>1652</v>
      </c>
      <c r="B22" s="5" t="s">
        <v>1026</v>
      </c>
      <c r="C22" s="5" t="n">
        <v>1</v>
      </c>
      <c r="D22" s="5" t="n">
        <v>4</v>
      </c>
      <c r="E22" s="9" t="n">
        <f aca="false">IF(OR(C22="",D22=""),"",C22/D22)</f>
        <v>0.25</v>
      </c>
      <c r="F22" s="5" t="s">
        <v>1619</v>
      </c>
      <c r="G22" s="5" t="s">
        <v>1654</v>
      </c>
    </row>
    <row r="23" customFormat="false" ht="15" hidden="false" customHeight="false" outlineLevel="0" collapsed="false">
      <c r="A23" s="5" t="s">
        <v>1652</v>
      </c>
      <c r="B23" s="5" t="s">
        <v>914</v>
      </c>
      <c r="C23" s="5" t="n">
        <v>1</v>
      </c>
      <c r="D23" s="5" t="n">
        <v>4</v>
      </c>
      <c r="E23" s="9" t="n">
        <f aca="false">IF(OR(C23="",D23=""),"",C23/D23)</f>
        <v>0.25</v>
      </c>
      <c r="F23" s="5" t="s">
        <v>1619</v>
      </c>
      <c r="G23" s="5" t="s">
        <v>1655</v>
      </c>
    </row>
    <row r="24" customFormat="false" ht="15" hidden="false" customHeight="false" outlineLevel="0" collapsed="false">
      <c r="A24" s="5" t="s">
        <v>1652</v>
      </c>
      <c r="B24" s="5" t="s">
        <v>1022</v>
      </c>
      <c r="C24" s="5" t="n">
        <v>1</v>
      </c>
      <c r="D24" s="5" t="n">
        <v>4</v>
      </c>
      <c r="E24" s="9" t="n">
        <f aca="false">IF(OR(C24="",D24=""),"",C24/D24)</f>
        <v>0.25</v>
      </c>
      <c r="F24" s="5" t="s">
        <v>1619</v>
      </c>
      <c r="G24" s="5" t="s">
        <v>1656</v>
      </c>
    </row>
    <row r="25" customFormat="false" ht="15" hidden="false" customHeight="false" outlineLevel="0" collapsed="false">
      <c r="A25" s="5" t="s">
        <v>1657</v>
      </c>
      <c r="B25" s="5" t="s">
        <v>1658</v>
      </c>
      <c r="C25" s="5" t="n">
        <v>4</v>
      </c>
      <c r="D25" s="5" t="n">
        <v>4</v>
      </c>
      <c r="E25" s="9" t="n">
        <f aca="false">IF(OR(C25="",D25=""),"",C25/D25)</f>
        <v>1</v>
      </c>
      <c r="F25" s="5" t="s">
        <v>1619</v>
      </c>
      <c r="G25" s="5" t="s">
        <v>1659</v>
      </c>
    </row>
    <row r="26" customFormat="false" ht="15" hidden="false" customHeight="false" outlineLevel="0" collapsed="false">
      <c r="A26" s="5" t="s">
        <v>1660</v>
      </c>
      <c r="B26" s="5" t="s">
        <v>1661</v>
      </c>
      <c r="C26" s="5" t="n">
        <v>4</v>
      </c>
      <c r="D26" s="5" t="n">
        <v>4</v>
      </c>
      <c r="E26" s="9" t="n">
        <f aca="false">IF(OR(C26="",D26=""),"",C26/D26)</f>
        <v>1</v>
      </c>
      <c r="F26" s="5" t="s">
        <v>1619</v>
      </c>
      <c r="G26" s="5" t="s">
        <v>1662</v>
      </c>
    </row>
    <row r="27" customFormat="false" ht="15" hidden="false" customHeight="false" outlineLevel="0" collapsed="false">
      <c r="A27" s="5" t="s">
        <v>1663</v>
      </c>
      <c r="B27" s="5" t="s">
        <v>1664</v>
      </c>
      <c r="C27" s="5" t="n">
        <v>25</v>
      </c>
      <c r="D27" s="5" t="n">
        <v>25</v>
      </c>
      <c r="E27" s="9" t="n">
        <f aca="false">IF(OR(C27="",D27=""),"",C27/D27)</f>
        <v>1</v>
      </c>
      <c r="F27" s="5" t="s">
        <v>1665</v>
      </c>
      <c r="G27" s="5" t="s">
        <v>1666</v>
      </c>
    </row>
    <row r="28" customFormat="false" ht="15" hidden="false" customHeight="false" outlineLevel="0" collapsed="false">
      <c r="A28" s="5" t="s">
        <v>1667</v>
      </c>
      <c r="B28" s="5" t="s">
        <v>553</v>
      </c>
      <c r="C28" s="5" t="n">
        <v>35</v>
      </c>
      <c r="D28" s="5" t="n">
        <v>35</v>
      </c>
      <c r="E28" s="9" t="n">
        <f aca="false">IF(OR(C28="",D28=""),"",C28/D28)</f>
        <v>1</v>
      </c>
      <c r="F28" s="5" t="s">
        <v>504</v>
      </c>
      <c r="G28" s="5" t="s">
        <v>1668</v>
      </c>
    </row>
    <row r="29" customFormat="false" ht="15" hidden="false" customHeight="false" outlineLevel="0" collapsed="false">
      <c r="A29" s="5" t="s">
        <v>573</v>
      </c>
      <c r="B29" s="5" t="s">
        <v>1650</v>
      </c>
      <c r="C29" s="5" t="n">
        <v>35</v>
      </c>
      <c r="D29" s="5" t="n">
        <v>35</v>
      </c>
      <c r="E29" s="9" t="n">
        <f aca="false">IF(OR(C29="",D29=""),"",C29/D29)</f>
        <v>1</v>
      </c>
      <c r="F29" s="5" t="s">
        <v>504</v>
      </c>
      <c r="G29" s="5" t="s">
        <v>1669</v>
      </c>
    </row>
    <row r="30" customFormat="false" ht="15" hidden="false" customHeight="false" outlineLevel="0" collapsed="false">
      <c r="A30" s="5" t="s">
        <v>1670</v>
      </c>
      <c r="B30" s="5" t="s">
        <v>582</v>
      </c>
      <c r="C30" s="5" t="n">
        <v>25</v>
      </c>
      <c r="D30" s="5" t="n">
        <v>25</v>
      </c>
      <c r="E30" s="9" t="n">
        <f aca="false">IF(OR(C30="",D30=""),"",C30/D30)</f>
        <v>1</v>
      </c>
      <c r="F30" s="5" t="s">
        <v>1665</v>
      </c>
      <c r="G30" s="5" t="s">
        <v>1671</v>
      </c>
    </row>
    <row r="31" customFormat="false" ht="15" hidden="false" customHeight="false" outlineLevel="0" collapsed="false">
      <c r="A31" s="5" t="s">
        <v>1672</v>
      </c>
      <c r="B31" s="5" t="s">
        <v>402</v>
      </c>
      <c r="C31" s="5" t="n">
        <v>25</v>
      </c>
      <c r="D31" s="5" t="n">
        <v>25</v>
      </c>
      <c r="E31" s="9" t="n">
        <f aca="false">IF(OR(C31="",D31=""),"",C31/D31)</f>
        <v>1</v>
      </c>
      <c r="F31" s="5" t="s">
        <v>1665</v>
      </c>
      <c r="G31" s="5" t="s">
        <v>1673</v>
      </c>
    </row>
    <row r="32" customFormat="false" ht="15" hidden="false" customHeight="false" outlineLevel="0" collapsed="false">
      <c r="A32" s="5" t="s">
        <v>1674</v>
      </c>
      <c r="B32" s="5" t="s">
        <v>1675</v>
      </c>
      <c r="C32" s="5" t="n">
        <v>1</v>
      </c>
      <c r="D32" s="5" t="n">
        <v>4</v>
      </c>
      <c r="E32" s="9" t="n">
        <f aca="false">IF(OR(C32="",D32=""),"",C32/D32)</f>
        <v>0.25</v>
      </c>
      <c r="F32" s="5" t="s">
        <v>1619</v>
      </c>
      <c r="G32" s="5" t="s">
        <v>1676</v>
      </c>
    </row>
    <row r="33" customFormat="false" ht="15" hidden="false" customHeight="false" outlineLevel="0" collapsed="false">
      <c r="A33" s="5" t="s">
        <v>1677</v>
      </c>
      <c r="B33" s="5" t="s">
        <v>882</v>
      </c>
      <c r="C33" s="5" t="n">
        <v>2</v>
      </c>
      <c r="D33" s="5" t="n">
        <v>4</v>
      </c>
      <c r="E33" s="9" t="n">
        <f aca="false">IF(OR(C33="",D33=""),"",C33/D33)</f>
        <v>0.5</v>
      </c>
      <c r="F33" s="5" t="s">
        <v>1619</v>
      </c>
      <c r="G33" s="5" t="s">
        <v>1678</v>
      </c>
    </row>
    <row r="34" customFormat="false" ht="15" hidden="false" customHeight="false" outlineLevel="0" collapsed="false">
      <c r="A34" s="5" t="s">
        <v>1677</v>
      </c>
      <c r="B34" s="5" t="s">
        <v>883</v>
      </c>
      <c r="C34" s="5" t="n">
        <v>1</v>
      </c>
      <c r="D34" s="5" t="n">
        <v>4</v>
      </c>
      <c r="E34" s="9" t="n">
        <f aca="false">IF(OR(C34="",D34=""),"",C34/D34)</f>
        <v>0.25</v>
      </c>
      <c r="F34" s="5" t="s">
        <v>1619</v>
      </c>
      <c r="G34" s="5" t="s">
        <v>1678</v>
      </c>
    </row>
    <row r="35" customFormat="false" ht="15" hidden="false" customHeight="false" outlineLevel="0" collapsed="false">
      <c r="A35" s="5" t="s">
        <v>1677</v>
      </c>
      <c r="B35" s="5" t="s">
        <v>884</v>
      </c>
      <c r="C35" s="5" t="n">
        <v>1</v>
      </c>
      <c r="D35" s="5" t="n">
        <v>4</v>
      </c>
      <c r="E35" s="9" t="n">
        <f aca="false">IF(OR(C35="",D35=""),"",C35/D35)</f>
        <v>0.25</v>
      </c>
      <c r="F35" s="5" t="s">
        <v>1619</v>
      </c>
      <c r="G35" s="5" t="s">
        <v>1678</v>
      </c>
    </row>
    <row r="36" customFormat="false" ht="15" hidden="false" customHeight="false" outlineLevel="0" collapsed="false">
      <c r="A36" s="5" t="s">
        <v>1679</v>
      </c>
      <c r="B36" s="5" t="s">
        <v>207</v>
      </c>
      <c r="C36" s="5" t="n">
        <v>4</v>
      </c>
      <c r="D36" s="5" t="n">
        <v>4</v>
      </c>
      <c r="E36" s="9" t="n">
        <f aca="false">IF(OR(C36="",D36=""),"",C36/D36)</f>
        <v>1</v>
      </c>
      <c r="F36" s="5" t="s">
        <v>1619</v>
      </c>
      <c r="G36" s="5" t="s">
        <v>1680</v>
      </c>
    </row>
    <row r="37" customFormat="false" ht="15" hidden="false" customHeight="false" outlineLevel="0" collapsed="false">
      <c r="A37" s="5" t="s">
        <v>1681</v>
      </c>
      <c r="B37" s="5" t="s">
        <v>1682</v>
      </c>
      <c r="C37" s="5" t="n">
        <v>10</v>
      </c>
      <c r="D37" s="5" t="n">
        <v>35</v>
      </c>
      <c r="E37" s="9" t="n">
        <f aca="false">IF(OR(C37="",D37=""),"",C37/D37)</f>
        <v>0.285714285714286</v>
      </c>
      <c r="F37" s="5" t="s">
        <v>504</v>
      </c>
      <c r="G37" s="5" t="s">
        <v>1683</v>
      </c>
    </row>
    <row r="38" customFormat="false" ht="15" hidden="false" customHeight="false" outlineLevel="0" collapsed="false">
      <c r="A38" s="5" t="s">
        <v>1684</v>
      </c>
      <c r="B38" s="5" t="s">
        <v>1685</v>
      </c>
      <c r="C38" s="5" t="n">
        <v>35</v>
      </c>
      <c r="D38" s="5"/>
      <c r="E38" s="9" t="str">
        <f aca="false">IF(OR(C38="",D38=""),"",C38/D38)</f>
        <v/>
      </c>
      <c r="F38" s="5" t="s">
        <v>1686</v>
      </c>
      <c r="G38" s="5" t="s">
        <v>1687</v>
      </c>
    </row>
    <row r="39" customFormat="false" ht="35.05" hidden="false" customHeight="false" outlineLevel="0" collapsed="false">
      <c r="A39" s="5" t="s">
        <v>1688</v>
      </c>
      <c r="B39" s="5" t="s">
        <v>1689</v>
      </c>
      <c r="C39" s="5"/>
      <c r="D39" s="5"/>
      <c r="E39" s="9"/>
      <c r="F39" s="5"/>
      <c r="G39" s="5" t="s">
        <v>1690</v>
      </c>
    </row>
    <row r="40" customFormat="false" ht="35.05" hidden="false" customHeight="false" outlineLevel="0" collapsed="false">
      <c r="A40" s="5" t="s">
        <v>1688</v>
      </c>
      <c r="B40" s="5" t="s">
        <v>1691</v>
      </c>
      <c r="C40" s="5"/>
      <c r="D40" s="5"/>
      <c r="E40" s="9"/>
      <c r="F40" s="5"/>
      <c r="G40" s="5" t="s">
        <v>1692</v>
      </c>
    </row>
  </sheetData>
  <autoFilter ref="A1:G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22"/>
    <col collapsed="false" customWidth="true" hidden="false" outlineLevel="0" max="4" min="4" style="0" width="7"/>
    <col collapsed="false" customWidth="true" hidden="false" outlineLevel="0" max="5" min="5" style="0" width="40"/>
    <col collapsed="false" customWidth="true" hidden="false" outlineLevel="0" max="6" min="6" style="0" width="10"/>
    <col collapsed="false" customWidth="true" hidden="false" outlineLevel="0" max="9" min="7" style="0" width="11"/>
    <col collapsed="false" customWidth="true" hidden="false" outlineLevel="0" max="10" min="10" style="0" width="24"/>
    <col collapsed="false" customWidth="true" hidden="false" outlineLevel="0" max="11" min="11" style="0" width="6"/>
    <col collapsed="false" customWidth="true" hidden="false" outlineLevel="0" max="12" min="12" style="0" width="8"/>
    <col collapsed="false" customWidth="true" hidden="false" outlineLevel="0" max="13" min="13" style="0" width="30"/>
    <col collapsed="false" customWidth="true" hidden="false" outlineLevel="0" max="14" min="14" style="0" width="50"/>
  </cols>
  <sheetData>
    <row r="1" customFormat="false" ht="30" hidden="false" customHeight="true" outlineLevel="0" collapsed="false">
      <c r="A1" s="4" t="s">
        <v>1693</v>
      </c>
      <c r="B1" s="4" t="s">
        <v>1694</v>
      </c>
      <c r="C1" s="4" t="s">
        <v>1695</v>
      </c>
      <c r="D1" s="4" t="s">
        <v>1696</v>
      </c>
      <c r="E1" s="4" t="s">
        <v>1697</v>
      </c>
      <c r="F1" s="4" t="s">
        <v>1698</v>
      </c>
      <c r="G1" s="4" t="s">
        <v>1699</v>
      </c>
      <c r="H1" s="4" t="s">
        <v>1700</v>
      </c>
      <c r="I1" s="4" t="s">
        <v>1701</v>
      </c>
      <c r="J1" s="4" t="s">
        <v>1702</v>
      </c>
      <c r="K1" s="4" t="s">
        <v>1703</v>
      </c>
      <c r="L1" s="4" t="s">
        <v>1704</v>
      </c>
      <c r="M1" s="4" t="s">
        <v>1705</v>
      </c>
      <c r="N1" s="4" t="s">
        <v>1706</v>
      </c>
    </row>
    <row r="2" customFormat="false" ht="23.85" hidden="false" customHeight="false" outlineLevel="0" collapsed="false">
      <c r="A2" s="5" t="s">
        <v>1527</v>
      </c>
      <c r="B2" s="5" t="s">
        <v>914</v>
      </c>
      <c r="C2" s="5" t="s">
        <v>1707</v>
      </c>
      <c r="D2" s="5" t="n">
        <v>1</v>
      </c>
      <c r="E2" s="5" t="s">
        <v>1035</v>
      </c>
      <c r="F2" s="5" t="s">
        <v>1034</v>
      </c>
      <c r="G2" s="8" t="n">
        <v>1052.46</v>
      </c>
      <c r="H2" s="8" t="n">
        <v>0</v>
      </c>
      <c r="I2" s="8" t="n">
        <v>1052.46</v>
      </c>
      <c r="J2" s="5" t="s">
        <v>553</v>
      </c>
      <c r="K2" s="5" t="s">
        <v>582</v>
      </c>
      <c r="L2" s="5" t="s">
        <v>402</v>
      </c>
      <c r="M2" s="5" t="s">
        <v>882</v>
      </c>
      <c r="N2" s="5"/>
    </row>
    <row r="3" customFormat="false" ht="23.85" hidden="false" customHeight="false" outlineLevel="0" collapsed="false">
      <c r="A3" s="5" t="s">
        <v>1527</v>
      </c>
      <c r="B3" s="5" t="s">
        <v>914</v>
      </c>
      <c r="C3" s="5" t="s">
        <v>1707</v>
      </c>
      <c r="D3" s="5" t="n">
        <v>2</v>
      </c>
      <c r="E3" s="5" t="s">
        <v>1201</v>
      </c>
      <c r="F3" s="5" t="s">
        <v>1200</v>
      </c>
      <c r="G3" s="8" t="n">
        <v>775.52</v>
      </c>
      <c r="H3" s="8" t="n">
        <v>0</v>
      </c>
      <c r="I3" s="8" t="n">
        <v>775.52</v>
      </c>
      <c r="J3" s="5" t="s">
        <v>553</v>
      </c>
      <c r="K3" s="5" t="s">
        <v>582</v>
      </c>
      <c r="L3" s="5" t="s">
        <v>402</v>
      </c>
      <c r="M3" s="5" t="s">
        <v>882</v>
      </c>
      <c r="N3" s="5"/>
    </row>
    <row r="4" customFormat="false" ht="23.85" hidden="false" customHeight="false" outlineLevel="0" collapsed="false">
      <c r="A4" s="5" t="s">
        <v>1527</v>
      </c>
      <c r="B4" s="5" t="s">
        <v>914</v>
      </c>
      <c r="C4" s="5" t="s">
        <v>1707</v>
      </c>
      <c r="D4" s="5" t="n">
        <v>3</v>
      </c>
      <c r="E4" s="5" t="s">
        <v>1281</v>
      </c>
      <c r="F4" s="5" t="s">
        <v>1280</v>
      </c>
      <c r="G4" s="8" t="n">
        <v>96.71</v>
      </c>
      <c r="H4" s="8" t="n">
        <v>0</v>
      </c>
      <c r="I4" s="8" t="n">
        <v>96.71</v>
      </c>
      <c r="J4" s="5" t="s">
        <v>553</v>
      </c>
      <c r="K4" s="5" t="s">
        <v>582</v>
      </c>
      <c r="L4" s="5" t="s">
        <v>402</v>
      </c>
      <c r="M4" s="5" t="s">
        <v>882</v>
      </c>
      <c r="N4" s="5"/>
    </row>
    <row r="5" customFormat="false" ht="23.85" hidden="false" customHeight="false" outlineLevel="0" collapsed="false">
      <c r="A5" s="5" t="s">
        <v>1527</v>
      </c>
      <c r="B5" s="5" t="s">
        <v>914</v>
      </c>
      <c r="C5" s="5" t="s">
        <v>1707</v>
      </c>
      <c r="D5" s="5" t="n">
        <v>4</v>
      </c>
      <c r="E5" s="5" t="s">
        <v>1229</v>
      </c>
      <c r="F5" s="5" t="s">
        <v>1228</v>
      </c>
      <c r="G5" s="8" t="n">
        <v>25.34</v>
      </c>
      <c r="H5" s="8" t="n">
        <v>0</v>
      </c>
      <c r="I5" s="8" t="n">
        <v>25.34</v>
      </c>
      <c r="J5" s="5" t="s">
        <v>553</v>
      </c>
      <c r="K5" s="5" t="s">
        <v>582</v>
      </c>
      <c r="L5" s="5" t="s">
        <v>402</v>
      </c>
      <c r="M5" s="5" t="s">
        <v>882</v>
      </c>
      <c r="N5" s="5"/>
    </row>
    <row r="6" customFormat="false" ht="23.85" hidden="false" customHeight="false" outlineLevel="0" collapsed="false">
      <c r="A6" s="5" t="s">
        <v>1541</v>
      </c>
      <c r="B6" s="5" t="s">
        <v>1009</v>
      </c>
      <c r="C6" s="5" t="s">
        <v>1708</v>
      </c>
      <c r="D6" s="5" t="n">
        <v>1</v>
      </c>
      <c r="E6" s="5" t="s">
        <v>1035</v>
      </c>
      <c r="F6" s="5" t="s">
        <v>1045</v>
      </c>
      <c r="G6" s="8" t="n">
        <v>905.44</v>
      </c>
      <c r="H6" s="8" t="n">
        <v>905.44</v>
      </c>
      <c r="I6" s="8" t="n">
        <v>0</v>
      </c>
      <c r="J6" s="5" t="s">
        <v>553</v>
      </c>
      <c r="K6" s="5" t="s">
        <v>582</v>
      </c>
      <c r="L6" s="5" t="s">
        <v>402</v>
      </c>
      <c r="M6" s="5" t="s">
        <v>883</v>
      </c>
      <c r="N6" s="7" t="s">
        <v>1709</v>
      </c>
    </row>
    <row r="7" customFormat="false" ht="23.85" hidden="false" customHeight="false" outlineLevel="0" collapsed="false">
      <c r="A7" s="5" t="s">
        <v>1541</v>
      </c>
      <c r="B7" s="5" t="s">
        <v>1009</v>
      </c>
      <c r="C7" s="5" t="s">
        <v>1708</v>
      </c>
      <c r="D7" s="5" t="n">
        <v>2</v>
      </c>
      <c r="E7" s="5" t="s">
        <v>1067</v>
      </c>
      <c r="F7" s="5" t="s">
        <v>1066</v>
      </c>
      <c r="G7" s="8" t="n">
        <v>143.2</v>
      </c>
      <c r="H7" s="8" t="n">
        <v>143.2</v>
      </c>
      <c r="I7" s="8" t="n">
        <v>0</v>
      </c>
      <c r="J7" s="5" t="s">
        <v>553</v>
      </c>
      <c r="K7" s="5" t="s">
        <v>582</v>
      </c>
      <c r="L7" s="5" t="s">
        <v>402</v>
      </c>
      <c r="M7" s="5" t="s">
        <v>883</v>
      </c>
      <c r="N7" s="7" t="s">
        <v>1709</v>
      </c>
    </row>
    <row r="8" customFormat="false" ht="23.85" hidden="false" customHeight="false" outlineLevel="0" collapsed="false">
      <c r="A8" s="5" t="s">
        <v>1541</v>
      </c>
      <c r="B8" s="5" t="s">
        <v>1009</v>
      </c>
      <c r="C8" s="5" t="s">
        <v>1708</v>
      </c>
      <c r="D8" s="5" t="n">
        <v>3</v>
      </c>
      <c r="E8" s="5" t="s">
        <v>1163</v>
      </c>
      <c r="F8" s="5" t="s">
        <v>1162</v>
      </c>
      <c r="G8" s="8" t="n">
        <v>447.17</v>
      </c>
      <c r="H8" s="8" t="n">
        <v>447.17</v>
      </c>
      <c r="I8" s="8" t="n">
        <v>0</v>
      </c>
      <c r="J8" s="5" t="s">
        <v>553</v>
      </c>
      <c r="K8" s="5" t="s">
        <v>582</v>
      </c>
      <c r="L8" s="5" t="s">
        <v>402</v>
      </c>
      <c r="M8" s="5" t="s">
        <v>883</v>
      </c>
      <c r="N8" s="7" t="s">
        <v>1709</v>
      </c>
    </row>
    <row r="9" customFormat="false" ht="23.85" hidden="false" customHeight="false" outlineLevel="0" collapsed="false">
      <c r="A9" s="5" t="s">
        <v>1541</v>
      </c>
      <c r="B9" s="5" t="s">
        <v>1009</v>
      </c>
      <c r="C9" s="5" t="s">
        <v>1708</v>
      </c>
      <c r="D9" s="5" t="n">
        <v>4</v>
      </c>
      <c r="E9" s="5" t="s">
        <v>1064</v>
      </c>
      <c r="F9" s="5" t="s">
        <v>1063</v>
      </c>
      <c r="G9" s="8" t="n">
        <v>10.32</v>
      </c>
      <c r="H9" s="8" t="n">
        <v>10.32</v>
      </c>
      <c r="I9" s="8" t="n">
        <v>0</v>
      </c>
      <c r="J9" s="5" t="s">
        <v>553</v>
      </c>
      <c r="K9" s="5" t="s">
        <v>582</v>
      </c>
      <c r="L9" s="5" t="s">
        <v>402</v>
      </c>
      <c r="M9" s="5" t="s">
        <v>883</v>
      </c>
      <c r="N9" s="7" t="s">
        <v>1709</v>
      </c>
    </row>
    <row r="10" customFormat="false" ht="23.85" hidden="false" customHeight="false" outlineLevel="0" collapsed="false">
      <c r="A10" s="5" t="s">
        <v>1541</v>
      </c>
      <c r="B10" s="5" t="s">
        <v>1009</v>
      </c>
      <c r="C10" s="5" t="s">
        <v>1708</v>
      </c>
      <c r="D10" s="5" t="n">
        <v>5</v>
      </c>
      <c r="E10" s="5" t="s">
        <v>1242</v>
      </c>
      <c r="F10" s="5" t="s">
        <v>1241</v>
      </c>
      <c r="G10" s="8" t="n">
        <v>6.5</v>
      </c>
      <c r="H10" s="8" t="n">
        <v>6.5</v>
      </c>
      <c r="I10" s="8" t="n">
        <v>0</v>
      </c>
      <c r="J10" s="5" t="s">
        <v>553</v>
      </c>
      <c r="K10" s="5" t="s">
        <v>582</v>
      </c>
      <c r="L10" s="5" t="s">
        <v>402</v>
      </c>
      <c r="M10" s="5" t="s">
        <v>883</v>
      </c>
      <c r="N10" s="7" t="s">
        <v>1709</v>
      </c>
    </row>
    <row r="11" customFormat="false" ht="23.85" hidden="false" customHeight="false" outlineLevel="0" collapsed="false">
      <c r="A11" s="5" t="s">
        <v>1541</v>
      </c>
      <c r="B11" s="5" t="s">
        <v>1009</v>
      </c>
      <c r="C11" s="5" t="s">
        <v>1708</v>
      </c>
      <c r="D11" s="5" t="n">
        <v>6</v>
      </c>
      <c r="E11" s="5" t="s">
        <v>1139</v>
      </c>
      <c r="F11" s="5" t="s">
        <v>1138</v>
      </c>
      <c r="G11" s="8" t="n">
        <v>28.87</v>
      </c>
      <c r="H11" s="8" t="n">
        <v>28.87</v>
      </c>
      <c r="I11" s="8" t="n">
        <v>0</v>
      </c>
      <c r="J11" s="5" t="s">
        <v>553</v>
      </c>
      <c r="K11" s="5" t="s">
        <v>582</v>
      </c>
      <c r="L11" s="5" t="s">
        <v>402</v>
      </c>
      <c r="M11" s="5" t="s">
        <v>883</v>
      </c>
      <c r="N11" s="7" t="s">
        <v>1709</v>
      </c>
    </row>
    <row r="12" customFormat="false" ht="23.85" hidden="false" customHeight="false" outlineLevel="0" collapsed="false">
      <c r="A12" s="5" t="s">
        <v>1541</v>
      </c>
      <c r="B12" s="5" t="s">
        <v>1009</v>
      </c>
      <c r="C12" s="5" t="s">
        <v>1708</v>
      </c>
      <c r="D12" s="5" t="n">
        <v>7</v>
      </c>
      <c r="E12" s="5" t="s">
        <v>1234</v>
      </c>
      <c r="F12" s="5" t="s">
        <v>1233</v>
      </c>
      <c r="G12" s="8" t="n">
        <v>1.91</v>
      </c>
      <c r="H12" s="8" t="n">
        <v>1.91</v>
      </c>
      <c r="I12" s="8" t="n">
        <v>0</v>
      </c>
      <c r="J12" s="5" t="s">
        <v>553</v>
      </c>
      <c r="K12" s="5" t="s">
        <v>582</v>
      </c>
      <c r="L12" s="5" t="s">
        <v>402</v>
      </c>
      <c r="M12" s="5" t="s">
        <v>883</v>
      </c>
      <c r="N12" s="7" t="s">
        <v>1709</v>
      </c>
    </row>
    <row r="13" customFormat="false" ht="23.85" hidden="false" customHeight="false" outlineLevel="0" collapsed="false">
      <c r="A13" s="5" t="s">
        <v>1535</v>
      </c>
      <c r="B13" s="5" t="s">
        <v>1022</v>
      </c>
      <c r="C13" s="5" t="s">
        <v>1707</v>
      </c>
      <c r="D13" s="5" t="n">
        <v>1</v>
      </c>
      <c r="E13" s="5" t="s">
        <v>1035</v>
      </c>
      <c r="F13" s="5" t="s">
        <v>1034</v>
      </c>
      <c r="G13" s="8" t="n">
        <v>250.3</v>
      </c>
      <c r="H13" s="8" t="n">
        <v>0</v>
      </c>
      <c r="I13" s="8" t="n">
        <v>250.3</v>
      </c>
      <c r="J13" s="5" t="s">
        <v>553</v>
      </c>
      <c r="K13" s="5" t="s">
        <v>582</v>
      </c>
      <c r="L13" s="5" t="s">
        <v>402</v>
      </c>
      <c r="M13" s="5" t="s">
        <v>882</v>
      </c>
      <c r="N13" s="5"/>
    </row>
    <row r="14" customFormat="false" ht="23.85" hidden="false" customHeight="false" outlineLevel="0" collapsed="false">
      <c r="A14" s="5" t="s">
        <v>1535</v>
      </c>
      <c r="B14" s="5" t="s">
        <v>1022</v>
      </c>
      <c r="C14" s="5" t="s">
        <v>1707</v>
      </c>
      <c r="D14" s="5" t="n">
        <v>2</v>
      </c>
      <c r="E14" s="5" t="s">
        <v>1067</v>
      </c>
      <c r="F14" s="5" t="s">
        <v>1066</v>
      </c>
      <c r="G14" s="8" t="n">
        <v>29.41</v>
      </c>
      <c r="H14" s="8" t="n">
        <v>0</v>
      </c>
      <c r="I14" s="8" t="n">
        <v>29.41</v>
      </c>
      <c r="J14" s="5" t="s">
        <v>553</v>
      </c>
      <c r="K14" s="5" t="s">
        <v>582</v>
      </c>
      <c r="L14" s="5" t="s">
        <v>402</v>
      </c>
      <c r="M14" s="5" t="s">
        <v>882</v>
      </c>
      <c r="N14" s="5"/>
    </row>
    <row r="15" customFormat="false" ht="23.85" hidden="false" customHeight="false" outlineLevel="0" collapsed="false">
      <c r="A15" s="5" t="s">
        <v>1535</v>
      </c>
      <c r="B15" s="5" t="s">
        <v>1022</v>
      </c>
      <c r="C15" s="5" t="s">
        <v>1707</v>
      </c>
      <c r="D15" s="5" t="n">
        <v>3</v>
      </c>
      <c r="E15" s="5" t="s">
        <v>1051</v>
      </c>
      <c r="F15" s="5" t="s">
        <v>1050</v>
      </c>
      <c r="G15" s="8" t="n">
        <v>37.78</v>
      </c>
      <c r="H15" s="8" t="n">
        <v>0</v>
      </c>
      <c r="I15" s="8" t="n">
        <v>37.78</v>
      </c>
      <c r="J15" s="5" t="s">
        <v>553</v>
      </c>
      <c r="K15" s="5" t="s">
        <v>582</v>
      </c>
      <c r="L15" s="5" t="s">
        <v>402</v>
      </c>
      <c r="M15" s="5" t="s">
        <v>882</v>
      </c>
      <c r="N15" s="5"/>
    </row>
    <row r="16" customFormat="false" ht="23.85" hidden="false" customHeight="false" outlineLevel="0" collapsed="false">
      <c r="A16" s="5" t="s">
        <v>1535</v>
      </c>
      <c r="B16" s="5" t="s">
        <v>1022</v>
      </c>
      <c r="C16" s="5" t="s">
        <v>1707</v>
      </c>
      <c r="D16" s="5" t="n">
        <v>4</v>
      </c>
      <c r="E16" s="5" t="s">
        <v>1175</v>
      </c>
      <c r="F16" s="5" t="s">
        <v>1174</v>
      </c>
      <c r="G16" s="8" t="n">
        <v>17.04</v>
      </c>
      <c r="H16" s="8" t="n">
        <v>0</v>
      </c>
      <c r="I16" s="8" t="n">
        <v>17.04</v>
      </c>
      <c r="J16" s="5" t="s">
        <v>553</v>
      </c>
      <c r="K16" s="5" t="s">
        <v>582</v>
      </c>
      <c r="L16" s="5" t="s">
        <v>402</v>
      </c>
      <c r="M16" s="5" t="s">
        <v>882</v>
      </c>
      <c r="N16" s="5"/>
    </row>
    <row r="17" customFormat="false" ht="23.85" hidden="false" customHeight="false" outlineLevel="0" collapsed="false">
      <c r="A17" s="5" t="s">
        <v>1535</v>
      </c>
      <c r="B17" s="5" t="s">
        <v>1022</v>
      </c>
      <c r="C17" s="5" t="s">
        <v>1707</v>
      </c>
      <c r="D17" s="5" t="n">
        <v>5</v>
      </c>
      <c r="E17" s="5" t="s">
        <v>1059</v>
      </c>
      <c r="F17" s="5" t="s">
        <v>1058</v>
      </c>
      <c r="G17" s="8" t="n">
        <v>374.66</v>
      </c>
      <c r="H17" s="8" t="n">
        <v>350</v>
      </c>
      <c r="I17" s="8" t="n">
        <v>24.66</v>
      </c>
      <c r="J17" s="5" t="s">
        <v>553</v>
      </c>
      <c r="K17" s="5" t="s">
        <v>582</v>
      </c>
      <c r="L17" s="5" t="s">
        <v>402</v>
      </c>
      <c r="M17" s="5" t="s">
        <v>882</v>
      </c>
      <c r="N17" s="5"/>
    </row>
    <row r="18" customFormat="false" ht="23.85" hidden="false" customHeight="false" outlineLevel="0" collapsed="false">
      <c r="A18" s="5" t="s">
        <v>1535</v>
      </c>
      <c r="B18" s="5" t="s">
        <v>1022</v>
      </c>
      <c r="C18" s="5" t="s">
        <v>1707</v>
      </c>
      <c r="D18" s="5" t="n">
        <v>6</v>
      </c>
      <c r="E18" s="5" t="s">
        <v>1039</v>
      </c>
      <c r="F18" s="5" t="s">
        <v>1038</v>
      </c>
      <c r="G18" s="8" t="n">
        <v>348.35</v>
      </c>
      <c r="H18" s="8" t="n">
        <v>0</v>
      </c>
      <c r="I18" s="8" t="n">
        <v>348.35</v>
      </c>
      <c r="J18" s="5" t="s">
        <v>553</v>
      </c>
      <c r="K18" s="5" t="s">
        <v>582</v>
      </c>
      <c r="L18" s="5" t="s">
        <v>402</v>
      </c>
      <c r="M18" s="5" t="s">
        <v>882</v>
      </c>
      <c r="N18" s="5"/>
    </row>
    <row r="19" customFormat="false" ht="23.85" hidden="false" customHeight="false" outlineLevel="0" collapsed="false">
      <c r="A19" s="5" t="s">
        <v>1535</v>
      </c>
      <c r="B19" s="5" t="s">
        <v>1022</v>
      </c>
      <c r="C19" s="5" t="s">
        <v>1707</v>
      </c>
      <c r="D19" s="5" t="n">
        <v>7</v>
      </c>
      <c r="E19" s="5" t="s">
        <v>1085</v>
      </c>
      <c r="F19" s="5" t="s">
        <v>1084</v>
      </c>
      <c r="G19" s="8" t="n">
        <v>228.66</v>
      </c>
      <c r="H19" s="8" t="n">
        <v>0</v>
      </c>
      <c r="I19" s="8" t="n">
        <v>228.66</v>
      </c>
      <c r="J19" s="5" t="s">
        <v>553</v>
      </c>
      <c r="K19" s="5" t="s">
        <v>582</v>
      </c>
      <c r="L19" s="5" t="s">
        <v>402</v>
      </c>
      <c r="M19" s="5" t="s">
        <v>882</v>
      </c>
      <c r="N19" s="5"/>
    </row>
    <row r="20" customFormat="false" ht="23.85" hidden="false" customHeight="false" outlineLevel="0" collapsed="false">
      <c r="A20" s="5" t="s">
        <v>1535</v>
      </c>
      <c r="B20" s="5" t="s">
        <v>1022</v>
      </c>
      <c r="C20" s="5" t="s">
        <v>1707</v>
      </c>
      <c r="D20" s="5" t="n">
        <v>8</v>
      </c>
      <c r="E20" s="5" t="s">
        <v>1064</v>
      </c>
      <c r="F20" s="5" t="s">
        <v>1063</v>
      </c>
      <c r="G20" s="8" t="n">
        <v>2.12</v>
      </c>
      <c r="H20" s="8" t="n">
        <v>0</v>
      </c>
      <c r="I20" s="8" t="n">
        <v>2.12</v>
      </c>
      <c r="J20" s="5" t="s">
        <v>553</v>
      </c>
      <c r="K20" s="5" t="s">
        <v>582</v>
      </c>
      <c r="L20" s="5" t="s">
        <v>402</v>
      </c>
      <c r="M20" s="5" t="s">
        <v>882</v>
      </c>
      <c r="N20" s="5"/>
    </row>
    <row r="21" customFormat="false" ht="23.85" hidden="false" customHeight="false" outlineLevel="0" collapsed="false">
      <c r="A21" s="5" t="s">
        <v>1535</v>
      </c>
      <c r="B21" s="5" t="s">
        <v>1022</v>
      </c>
      <c r="C21" s="5" t="s">
        <v>1707</v>
      </c>
      <c r="D21" s="5" t="n">
        <v>9</v>
      </c>
      <c r="E21" s="5" t="s">
        <v>1239</v>
      </c>
      <c r="F21" s="5" t="s">
        <v>1238</v>
      </c>
      <c r="G21" s="8" t="n">
        <v>5.26</v>
      </c>
      <c r="H21" s="8" t="n">
        <v>0</v>
      </c>
      <c r="I21" s="8" t="n">
        <v>5.26</v>
      </c>
      <c r="J21" s="5" t="s">
        <v>553</v>
      </c>
      <c r="K21" s="5" t="s">
        <v>582</v>
      </c>
      <c r="L21" s="5" t="s">
        <v>402</v>
      </c>
      <c r="M21" s="5" t="s">
        <v>882</v>
      </c>
      <c r="N21" s="5"/>
    </row>
    <row r="22" customFormat="false" ht="23.85" hidden="false" customHeight="false" outlineLevel="0" collapsed="false">
      <c r="A22" s="5" t="s">
        <v>1535</v>
      </c>
      <c r="B22" s="5" t="s">
        <v>1022</v>
      </c>
      <c r="C22" s="5" t="s">
        <v>1707</v>
      </c>
      <c r="D22" s="5" t="n">
        <v>10</v>
      </c>
      <c r="E22" s="5" t="s">
        <v>1245</v>
      </c>
      <c r="F22" s="5" t="s">
        <v>1244</v>
      </c>
      <c r="G22" s="8" t="n">
        <v>2.59</v>
      </c>
      <c r="H22" s="8" t="n">
        <v>0</v>
      </c>
      <c r="I22" s="8" t="n">
        <v>2.59</v>
      </c>
      <c r="J22" s="5" t="s">
        <v>553</v>
      </c>
      <c r="K22" s="5" t="s">
        <v>582</v>
      </c>
      <c r="L22" s="5" t="s">
        <v>402</v>
      </c>
      <c r="M22" s="5" t="s">
        <v>882</v>
      </c>
      <c r="N22" s="5"/>
    </row>
    <row r="23" customFormat="false" ht="23.85" hidden="false" customHeight="false" outlineLevel="0" collapsed="false">
      <c r="A23" s="5" t="s">
        <v>1535</v>
      </c>
      <c r="B23" s="5" t="s">
        <v>1022</v>
      </c>
      <c r="C23" s="5" t="s">
        <v>1707</v>
      </c>
      <c r="D23" s="5" t="n">
        <v>11</v>
      </c>
      <c r="E23" s="5" t="s">
        <v>1242</v>
      </c>
      <c r="F23" s="5" t="s">
        <v>1241</v>
      </c>
      <c r="G23" s="8" t="n">
        <v>1.34</v>
      </c>
      <c r="H23" s="8" t="n">
        <v>0</v>
      </c>
      <c r="I23" s="8" t="n">
        <v>1.34</v>
      </c>
      <c r="J23" s="5" t="s">
        <v>553</v>
      </c>
      <c r="K23" s="5" t="s">
        <v>582</v>
      </c>
      <c r="L23" s="5" t="s">
        <v>402</v>
      </c>
      <c r="M23" s="5" t="s">
        <v>882</v>
      </c>
      <c r="N23" s="5"/>
    </row>
    <row r="24" customFormat="false" ht="23.85" hidden="false" customHeight="false" outlineLevel="0" collapsed="false">
      <c r="A24" s="5" t="s">
        <v>1535</v>
      </c>
      <c r="B24" s="5" t="s">
        <v>1022</v>
      </c>
      <c r="C24" s="5" t="s">
        <v>1707</v>
      </c>
      <c r="D24" s="5" t="n">
        <v>12</v>
      </c>
      <c r="E24" s="5" t="s">
        <v>1127</v>
      </c>
      <c r="F24" s="5" t="s">
        <v>1126</v>
      </c>
      <c r="G24" s="8" t="n">
        <v>9.11</v>
      </c>
      <c r="H24" s="8" t="n">
        <v>0</v>
      </c>
      <c r="I24" s="8" t="n">
        <v>9.11</v>
      </c>
      <c r="J24" s="5" t="s">
        <v>553</v>
      </c>
      <c r="K24" s="5" t="s">
        <v>582</v>
      </c>
      <c r="L24" s="5" t="s">
        <v>402</v>
      </c>
      <c r="M24" s="5" t="s">
        <v>882</v>
      </c>
      <c r="N24" s="5"/>
    </row>
    <row r="25" customFormat="false" ht="23.85" hidden="false" customHeight="false" outlineLevel="0" collapsed="false">
      <c r="A25" s="5" t="s">
        <v>1535</v>
      </c>
      <c r="B25" s="5" t="s">
        <v>1022</v>
      </c>
      <c r="C25" s="5" t="s">
        <v>1707</v>
      </c>
      <c r="D25" s="5" t="n">
        <v>13</v>
      </c>
      <c r="E25" s="5" t="s">
        <v>1136</v>
      </c>
      <c r="F25" s="5" t="s">
        <v>1135</v>
      </c>
      <c r="G25" s="8" t="n">
        <v>0.79</v>
      </c>
      <c r="H25" s="8" t="n">
        <v>0</v>
      </c>
      <c r="I25" s="8" t="n">
        <v>0.79</v>
      </c>
      <c r="J25" s="5" t="s">
        <v>553</v>
      </c>
      <c r="K25" s="5" t="s">
        <v>582</v>
      </c>
      <c r="L25" s="5" t="s">
        <v>402</v>
      </c>
      <c r="M25" s="5" t="s">
        <v>882</v>
      </c>
      <c r="N25" s="5"/>
    </row>
    <row r="26" customFormat="false" ht="23.85" hidden="false" customHeight="false" outlineLevel="0" collapsed="false">
      <c r="A26" s="5" t="s">
        <v>1521</v>
      </c>
      <c r="B26" s="5" t="s">
        <v>1026</v>
      </c>
      <c r="C26" s="5" t="s">
        <v>1575</v>
      </c>
      <c r="D26" s="5" t="n">
        <v>1</v>
      </c>
      <c r="E26" s="5" t="s">
        <v>1155</v>
      </c>
      <c r="F26" s="5" t="s">
        <v>1154</v>
      </c>
      <c r="G26" s="8" t="n">
        <v>220.31</v>
      </c>
      <c r="H26" s="8" t="n">
        <v>4.72</v>
      </c>
      <c r="I26" s="8" t="n">
        <v>215.59</v>
      </c>
      <c r="J26" s="5" t="s">
        <v>553</v>
      </c>
      <c r="K26" s="5" t="s">
        <v>582</v>
      </c>
      <c r="L26" s="5" t="s">
        <v>402</v>
      </c>
      <c r="M26" s="5" t="s">
        <v>884</v>
      </c>
      <c r="N26" s="5"/>
    </row>
    <row r="27" customFormat="false" ht="35.05" hidden="false" customHeight="false" outlineLevel="0" collapsed="false">
      <c r="A27" s="5" t="s">
        <v>1521</v>
      </c>
      <c r="B27" s="5" t="s">
        <v>1026</v>
      </c>
      <c r="C27" s="5" t="s">
        <v>1575</v>
      </c>
      <c r="D27" s="5" t="n">
        <v>2</v>
      </c>
      <c r="E27" s="5" t="s">
        <v>1035</v>
      </c>
      <c r="F27" s="5" t="s">
        <v>1034</v>
      </c>
      <c r="G27" s="8"/>
      <c r="H27" s="8"/>
      <c r="I27" s="8"/>
      <c r="J27" s="5" t="s">
        <v>553</v>
      </c>
      <c r="K27" s="5"/>
      <c r="L27" s="5"/>
      <c r="M27" s="5" t="s">
        <v>884</v>
      </c>
      <c r="N27" s="7" t="s">
        <v>1710</v>
      </c>
    </row>
    <row r="28" customFormat="false" ht="35.05" hidden="false" customHeight="false" outlineLevel="0" collapsed="false">
      <c r="A28" s="5" t="s">
        <v>1521</v>
      </c>
      <c r="B28" s="5" t="s">
        <v>1026</v>
      </c>
      <c r="C28" s="5" t="s">
        <v>1575</v>
      </c>
      <c r="D28" s="5" t="n">
        <v>3</v>
      </c>
      <c r="E28" s="5" t="s">
        <v>1148</v>
      </c>
      <c r="F28" s="5" t="s">
        <v>1147</v>
      </c>
      <c r="G28" s="8"/>
      <c r="H28" s="8"/>
      <c r="I28" s="8"/>
      <c r="J28" s="5" t="s">
        <v>553</v>
      </c>
      <c r="K28" s="5"/>
      <c r="L28" s="5"/>
      <c r="M28" s="5" t="s">
        <v>884</v>
      </c>
      <c r="N28" s="7" t="s">
        <v>1710</v>
      </c>
    </row>
    <row r="29" customFormat="false" ht="35.05" hidden="false" customHeight="false" outlineLevel="0" collapsed="false">
      <c r="A29" s="5" t="s">
        <v>1521</v>
      </c>
      <c r="B29" s="5" t="s">
        <v>1026</v>
      </c>
      <c r="C29" s="5" t="s">
        <v>1575</v>
      </c>
      <c r="D29" s="5" t="n">
        <v>4</v>
      </c>
      <c r="E29" s="5" t="s">
        <v>1175</v>
      </c>
      <c r="F29" s="5" t="s">
        <v>1174</v>
      </c>
      <c r="G29" s="8"/>
      <c r="H29" s="8"/>
      <c r="I29" s="8"/>
      <c r="J29" s="5" t="s">
        <v>553</v>
      </c>
      <c r="K29" s="5"/>
      <c r="L29" s="5"/>
      <c r="M29" s="5" t="s">
        <v>884</v>
      </c>
      <c r="N29" s="7" t="s">
        <v>1710</v>
      </c>
    </row>
    <row r="30" customFormat="false" ht="35.05" hidden="false" customHeight="false" outlineLevel="0" collapsed="false">
      <c r="A30" s="5" t="s">
        <v>1521</v>
      </c>
      <c r="B30" s="5" t="s">
        <v>1026</v>
      </c>
      <c r="C30" s="5" t="s">
        <v>1575</v>
      </c>
      <c r="D30" s="5" t="n">
        <v>5</v>
      </c>
      <c r="E30" s="5" t="s">
        <v>1105</v>
      </c>
      <c r="F30" s="5" t="s">
        <v>1104</v>
      </c>
      <c r="G30" s="8"/>
      <c r="H30" s="8"/>
      <c r="I30" s="8"/>
      <c r="J30" s="5" t="s">
        <v>553</v>
      </c>
      <c r="K30" s="5"/>
      <c r="L30" s="5"/>
      <c r="M30" s="5" t="s">
        <v>884</v>
      </c>
      <c r="N30" s="7" t="s">
        <v>1710</v>
      </c>
    </row>
    <row r="31" customFormat="false" ht="35.05" hidden="false" customHeight="false" outlineLevel="0" collapsed="false">
      <c r="A31" s="5" t="s">
        <v>1521</v>
      </c>
      <c r="B31" s="5" t="s">
        <v>1026</v>
      </c>
      <c r="C31" s="5" t="s">
        <v>1575</v>
      </c>
      <c r="D31" s="5" t="n">
        <v>6</v>
      </c>
      <c r="E31" s="5" t="s">
        <v>1109</v>
      </c>
      <c r="F31" s="5" t="s">
        <v>1108</v>
      </c>
      <c r="G31" s="8"/>
      <c r="H31" s="8"/>
      <c r="I31" s="8"/>
      <c r="J31" s="5" t="s">
        <v>553</v>
      </c>
      <c r="K31" s="5"/>
      <c r="L31" s="5"/>
      <c r="M31" s="5" t="s">
        <v>884</v>
      </c>
      <c r="N31" s="7" t="s">
        <v>1710</v>
      </c>
    </row>
    <row r="32" customFormat="false" ht="35.05" hidden="false" customHeight="false" outlineLevel="0" collapsed="false">
      <c r="A32" s="5" t="s">
        <v>1521</v>
      </c>
      <c r="B32" s="5" t="s">
        <v>1026</v>
      </c>
      <c r="C32" s="5" t="s">
        <v>1575</v>
      </c>
      <c r="D32" s="5" t="n">
        <v>7</v>
      </c>
      <c r="E32" s="5" t="s">
        <v>1112</v>
      </c>
      <c r="F32" s="5" t="s">
        <v>1111</v>
      </c>
      <c r="G32" s="8"/>
      <c r="H32" s="8"/>
      <c r="I32" s="8"/>
      <c r="J32" s="5" t="s">
        <v>553</v>
      </c>
      <c r="K32" s="5"/>
      <c r="L32" s="5"/>
      <c r="M32" s="5" t="s">
        <v>884</v>
      </c>
      <c r="N32" s="7" t="s">
        <v>1710</v>
      </c>
    </row>
    <row r="33" customFormat="false" ht="35.05" hidden="false" customHeight="false" outlineLevel="0" collapsed="false">
      <c r="A33" s="5" t="s">
        <v>1521</v>
      </c>
      <c r="B33" s="5" t="s">
        <v>1026</v>
      </c>
      <c r="C33" s="5" t="s">
        <v>1575</v>
      </c>
      <c r="D33" s="5" t="n">
        <v>8</v>
      </c>
      <c r="E33" s="5" t="s">
        <v>1115</v>
      </c>
      <c r="F33" s="5" t="s">
        <v>1114</v>
      </c>
      <c r="G33" s="8"/>
      <c r="H33" s="8"/>
      <c r="I33" s="8"/>
      <c r="J33" s="5" t="s">
        <v>553</v>
      </c>
      <c r="K33" s="5"/>
      <c r="L33" s="5"/>
      <c r="M33" s="5" t="s">
        <v>884</v>
      </c>
      <c r="N33" s="7" t="s">
        <v>1710</v>
      </c>
    </row>
    <row r="34" customFormat="false" ht="35.05" hidden="false" customHeight="false" outlineLevel="0" collapsed="false">
      <c r="A34" s="5" t="s">
        <v>1521</v>
      </c>
      <c r="B34" s="5" t="s">
        <v>1026</v>
      </c>
      <c r="C34" s="5" t="s">
        <v>1575</v>
      </c>
      <c r="D34" s="5" t="n">
        <v>9</v>
      </c>
      <c r="E34" s="5" t="s">
        <v>1118</v>
      </c>
      <c r="F34" s="5" t="s">
        <v>1117</v>
      </c>
      <c r="G34" s="8"/>
      <c r="H34" s="8"/>
      <c r="I34" s="8"/>
      <c r="J34" s="5" t="s">
        <v>553</v>
      </c>
      <c r="K34" s="5"/>
      <c r="L34" s="5"/>
      <c r="M34" s="5" t="s">
        <v>884</v>
      </c>
      <c r="N34" s="7" t="s">
        <v>1710</v>
      </c>
    </row>
    <row r="35" customFormat="false" ht="35.05" hidden="false" customHeight="false" outlineLevel="0" collapsed="false">
      <c r="A35" s="5" t="s">
        <v>1521</v>
      </c>
      <c r="B35" s="5" t="s">
        <v>1026</v>
      </c>
      <c r="C35" s="5" t="s">
        <v>1575</v>
      </c>
      <c r="D35" s="5" t="n">
        <v>10</v>
      </c>
      <c r="E35" s="5" t="s">
        <v>1121</v>
      </c>
      <c r="F35" s="5" t="s">
        <v>1120</v>
      </c>
      <c r="G35" s="8"/>
      <c r="H35" s="8"/>
      <c r="I35" s="8"/>
      <c r="J35" s="5" t="s">
        <v>553</v>
      </c>
      <c r="K35" s="5"/>
      <c r="L35" s="5"/>
      <c r="M35" s="5" t="s">
        <v>884</v>
      </c>
      <c r="N35" s="7" t="s">
        <v>1710</v>
      </c>
    </row>
    <row r="36" customFormat="false" ht="35.05" hidden="false" customHeight="false" outlineLevel="0" collapsed="false">
      <c r="A36" s="5" t="s">
        <v>1521</v>
      </c>
      <c r="B36" s="5" t="s">
        <v>1026</v>
      </c>
      <c r="C36" s="5" t="s">
        <v>1575</v>
      </c>
      <c r="D36" s="5" t="n">
        <v>11</v>
      </c>
      <c r="E36" s="5" t="s">
        <v>1188</v>
      </c>
      <c r="F36" s="5" t="s">
        <v>1187</v>
      </c>
      <c r="G36" s="8"/>
      <c r="H36" s="8"/>
      <c r="I36" s="8"/>
      <c r="J36" s="5" t="s">
        <v>553</v>
      </c>
      <c r="K36" s="5"/>
      <c r="L36" s="5"/>
      <c r="M36" s="5" t="s">
        <v>884</v>
      </c>
      <c r="N36" s="7" t="s">
        <v>1710</v>
      </c>
    </row>
  </sheetData>
  <autoFilter ref="A1:N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5"/>
    <col collapsed="false" customWidth="true" hidden="false" outlineLevel="0" max="3" min="3" style="0" width="60"/>
    <col collapsed="false" customWidth="true" hidden="false" outlineLevel="0" max="4" min="4" style="0" width="11"/>
    <col collapsed="false" customWidth="true" hidden="false" outlineLevel="0" max="5" min="5" style="0" width="12"/>
  </cols>
  <sheetData>
    <row r="1" customFormat="false" ht="30" hidden="false" customHeight="true" outlineLevel="0" collapsed="false">
      <c r="A1" s="4" t="s">
        <v>752</v>
      </c>
      <c r="B1" s="4" t="s">
        <v>1711</v>
      </c>
      <c r="C1" s="4" t="s">
        <v>1712</v>
      </c>
      <c r="D1" s="4" t="s">
        <v>1713</v>
      </c>
      <c r="E1" s="4" t="s">
        <v>1</v>
      </c>
    </row>
    <row r="2" customFormat="false" ht="35.05" hidden="false" customHeight="false" outlineLevel="0" collapsed="false">
      <c r="A2" s="5" t="s">
        <v>1714</v>
      </c>
      <c r="B2" s="5" t="s">
        <v>1715</v>
      </c>
      <c r="C2" s="5" t="s">
        <v>1716</v>
      </c>
      <c r="D2" s="5" t="s">
        <v>1717</v>
      </c>
      <c r="E2" s="5" t="s">
        <v>212</v>
      </c>
    </row>
    <row r="3" customFormat="false" ht="35.05" hidden="false" customHeight="false" outlineLevel="0" collapsed="false">
      <c r="A3" s="5" t="s">
        <v>1718</v>
      </c>
      <c r="B3" s="5" t="s">
        <v>1719</v>
      </c>
      <c r="C3" s="5" t="s">
        <v>1720</v>
      </c>
      <c r="D3" s="5" t="s">
        <v>1717</v>
      </c>
      <c r="E3" s="5" t="s">
        <v>212</v>
      </c>
    </row>
    <row r="4" customFormat="false" ht="23.85" hidden="false" customHeight="false" outlineLevel="0" collapsed="false">
      <c r="A4" s="5" t="s">
        <v>1721</v>
      </c>
      <c r="B4" s="5" t="s">
        <v>1722</v>
      </c>
      <c r="C4" s="5" t="s">
        <v>1723</v>
      </c>
      <c r="D4" s="5" t="s">
        <v>1717</v>
      </c>
      <c r="E4" s="5" t="s">
        <v>277</v>
      </c>
    </row>
    <row r="5" customFormat="false" ht="46.25" hidden="false" customHeight="false" outlineLevel="0" collapsed="false">
      <c r="A5" s="5" t="s">
        <v>1724</v>
      </c>
      <c r="B5" s="5" t="s">
        <v>1725</v>
      </c>
      <c r="C5" s="5" t="s">
        <v>1726</v>
      </c>
      <c r="D5" s="5" t="s">
        <v>1717</v>
      </c>
      <c r="E5" s="5" t="s">
        <v>212</v>
      </c>
    </row>
    <row r="6" customFormat="false" ht="23.85" hidden="false" customHeight="false" outlineLevel="0" collapsed="false">
      <c r="A6" s="5" t="s">
        <v>1727</v>
      </c>
      <c r="B6" s="5" t="s">
        <v>1728</v>
      </c>
      <c r="C6" s="5" t="s">
        <v>1729</v>
      </c>
      <c r="D6" s="5" t="s">
        <v>1717</v>
      </c>
      <c r="E6" s="5" t="s">
        <v>212</v>
      </c>
    </row>
    <row r="7" customFormat="false" ht="23.85" hidden="false" customHeight="false" outlineLevel="0" collapsed="false">
      <c r="A7" s="5" t="s">
        <v>1730</v>
      </c>
      <c r="B7" s="5" t="s">
        <v>1731</v>
      </c>
      <c r="C7" s="5" t="s">
        <v>1732</v>
      </c>
      <c r="D7" s="5" t="s">
        <v>1717</v>
      </c>
      <c r="E7" s="5" t="s">
        <v>277</v>
      </c>
    </row>
    <row r="8" customFormat="false" ht="46.25" hidden="false" customHeight="false" outlineLevel="0" collapsed="false">
      <c r="A8" s="5" t="s">
        <v>1733</v>
      </c>
      <c r="B8" s="5" t="s">
        <v>1734</v>
      </c>
      <c r="C8" s="5" t="s">
        <v>1735</v>
      </c>
      <c r="D8" s="5" t="s">
        <v>1717</v>
      </c>
      <c r="E8" s="5" t="s">
        <v>212</v>
      </c>
    </row>
    <row r="9" customFormat="false" ht="23.85" hidden="false" customHeight="false" outlineLevel="0" collapsed="false">
      <c r="A9" s="5" t="s">
        <v>1736</v>
      </c>
      <c r="B9" s="5" t="s">
        <v>1737</v>
      </c>
      <c r="C9" s="5" t="s">
        <v>1738</v>
      </c>
      <c r="D9" s="5" t="s">
        <v>1717</v>
      </c>
      <c r="E9" s="5" t="s">
        <v>212</v>
      </c>
    </row>
    <row r="10" customFormat="false" ht="35.05" hidden="false" customHeight="false" outlineLevel="0" collapsed="false">
      <c r="A10" s="5" t="s">
        <v>1739</v>
      </c>
      <c r="B10" s="5" t="s">
        <v>1740</v>
      </c>
      <c r="C10" s="5" t="s">
        <v>1741</v>
      </c>
      <c r="D10" s="5" t="s">
        <v>1742</v>
      </c>
      <c r="E10" s="5" t="s">
        <v>212</v>
      </c>
    </row>
    <row r="11" customFormat="false" ht="15" hidden="false" customHeight="false" outlineLevel="0" collapsed="false">
      <c r="A11" s="5" t="s">
        <v>1743</v>
      </c>
      <c r="B11" s="5" t="s">
        <v>1744</v>
      </c>
      <c r="C11" s="5" t="s">
        <v>1745</v>
      </c>
      <c r="D11" s="5" t="s">
        <v>1742</v>
      </c>
      <c r="E11" s="5" t="s">
        <v>228</v>
      </c>
    </row>
    <row r="12" customFormat="false" ht="35.05" hidden="false" customHeight="false" outlineLevel="0" collapsed="false">
      <c r="A12" s="5" t="s">
        <v>1746</v>
      </c>
      <c r="B12" s="5" t="s">
        <v>1747</v>
      </c>
      <c r="C12" s="5" t="s">
        <v>1748</v>
      </c>
      <c r="D12" s="5" t="s">
        <v>1717</v>
      </c>
      <c r="E12" s="5" t="s">
        <v>212</v>
      </c>
    </row>
    <row r="13" customFormat="false" ht="15" hidden="false" customHeight="false" outlineLevel="0" collapsed="false">
      <c r="A13" s="5" t="s">
        <v>1749</v>
      </c>
      <c r="B13" s="5" t="s">
        <v>1750</v>
      </c>
      <c r="C13" s="5" t="s">
        <v>1751</v>
      </c>
      <c r="D13" s="5" t="s">
        <v>1742</v>
      </c>
      <c r="E13" s="5" t="s">
        <v>228</v>
      </c>
    </row>
    <row r="14" customFormat="false" ht="23.85" hidden="false" customHeight="false" outlineLevel="0" collapsed="false">
      <c r="A14" s="5" t="s">
        <v>1752</v>
      </c>
      <c r="B14" s="5" t="s">
        <v>1753</v>
      </c>
      <c r="C14" s="5" t="s">
        <v>1754</v>
      </c>
      <c r="D14" s="5" t="s">
        <v>1755</v>
      </c>
      <c r="E14" s="5" t="s">
        <v>212</v>
      </c>
    </row>
    <row r="15" customFormat="false" ht="23.85" hidden="false" customHeight="false" outlineLevel="0" collapsed="false">
      <c r="A15" s="5" t="s">
        <v>1756</v>
      </c>
      <c r="B15" s="5" t="s">
        <v>1757</v>
      </c>
      <c r="C15" s="5" t="s">
        <v>1758</v>
      </c>
      <c r="D15" s="5" t="s">
        <v>1717</v>
      </c>
      <c r="E15" s="5" t="s">
        <v>212</v>
      </c>
    </row>
    <row r="16" customFormat="false" ht="35.05" hidden="false" customHeight="false" outlineLevel="0" collapsed="false">
      <c r="A16" s="5" t="s">
        <v>1759</v>
      </c>
      <c r="B16" s="5" t="s">
        <v>1760</v>
      </c>
      <c r="C16" s="5" t="s">
        <v>1761</v>
      </c>
      <c r="D16" s="5" t="s">
        <v>1717</v>
      </c>
      <c r="E16" s="5" t="s">
        <v>212</v>
      </c>
    </row>
    <row r="17" customFormat="false" ht="15" hidden="false" customHeight="false" outlineLevel="0" collapsed="false">
      <c r="A17" s="5" t="s">
        <v>1762</v>
      </c>
      <c r="B17" s="5" t="s">
        <v>1763</v>
      </c>
      <c r="C17" s="5" t="s">
        <v>1764</v>
      </c>
      <c r="D17" s="5" t="s">
        <v>1717</v>
      </c>
      <c r="E17" s="5" t="s">
        <v>277</v>
      </c>
    </row>
    <row r="18" customFormat="false" ht="35.05" hidden="false" customHeight="false" outlineLevel="0" collapsed="false">
      <c r="A18" s="5" t="s">
        <v>1765</v>
      </c>
      <c r="B18" s="5" t="s">
        <v>1766</v>
      </c>
      <c r="C18" s="5" t="s">
        <v>1767</v>
      </c>
      <c r="D18" s="5" t="s">
        <v>1717</v>
      </c>
      <c r="E18" s="5" t="s">
        <v>1768</v>
      </c>
    </row>
    <row r="19" customFormat="false" ht="35.05" hidden="false" customHeight="false" outlineLevel="0" collapsed="false">
      <c r="A19" s="5" t="s">
        <v>1769</v>
      </c>
      <c r="B19" s="5" t="s">
        <v>1770</v>
      </c>
      <c r="C19" s="5" t="s">
        <v>1771</v>
      </c>
      <c r="D19" s="5" t="s">
        <v>1717</v>
      </c>
      <c r="E19" s="5" t="s">
        <v>1768</v>
      </c>
    </row>
    <row r="20" customFormat="false" ht="35.05" hidden="false" customHeight="false" outlineLevel="0" collapsed="false">
      <c r="A20" s="5" t="s">
        <v>1772</v>
      </c>
      <c r="B20" s="5" t="s">
        <v>1773</v>
      </c>
      <c r="C20" s="5" t="s">
        <v>1774</v>
      </c>
      <c r="D20" s="5" t="s">
        <v>1717</v>
      </c>
      <c r="E20" s="5" t="s">
        <v>1768</v>
      </c>
    </row>
  </sheetData>
  <autoFilter ref="A1:E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60"/>
    <col collapsed="false" customWidth="true" hidden="false" outlineLevel="0" max="4" min="4" style="0" width="55"/>
    <col collapsed="false" customWidth="true" hidden="false" outlineLevel="0" max="5" min="5" style="0" width="14"/>
    <col collapsed="false" customWidth="true" hidden="false" outlineLevel="0" max="6" min="6" style="0" width="11"/>
    <col collapsed="false" customWidth="true" hidden="false" outlineLevel="0" max="7" min="7" style="0" width="16"/>
  </cols>
  <sheetData>
    <row r="1" customFormat="false" ht="30" hidden="false" customHeight="true" outlineLevel="0" collapsed="false">
      <c r="A1" s="4" t="s">
        <v>1775</v>
      </c>
      <c r="B1" s="4" t="s">
        <v>1776</v>
      </c>
      <c r="C1" s="4" t="s">
        <v>245</v>
      </c>
      <c r="D1" s="4" t="s">
        <v>1777</v>
      </c>
      <c r="E1" s="4" t="s">
        <v>1778</v>
      </c>
      <c r="F1" s="4" t="s">
        <v>1</v>
      </c>
      <c r="G1" s="4" t="s">
        <v>180</v>
      </c>
    </row>
    <row r="2" customFormat="false" ht="23.85" hidden="false" customHeight="false" outlineLevel="0" collapsed="false">
      <c r="A2" s="5" t="s">
        <v>1779</v>
      </c>
      <c r="B2" s="5" t="s">
        <v>1780</v>
      </c>
      <c r="C2" s="5" t="s">
        <v>1781</v>
      </c>
      <c r="D2" s="5" t="s">
        <v>1782</v>
      </c>
      <c r="E2" s="5" t="s">
        <v>1783</v>
      </c>
      <c r="F2" s="5" t="s">
        <v>238</v>
      </c>
      <c r="G2" s="5" t="s">
        <v>1784</v>
      </c>
    </row>
    <row r="3" customFormat="false" ht="15" hidden="false" customHeight="false" outlineLevel="0" collapsed="false">
      <c r="A3" s="5" t="s">
        <v>410</v>
      </c>
      <c r="B3" s="5" t="s">
        <v>1785</v>
      </c>
      <c r="C3" s="5" t="s">
        <v>1786</v>
      </c>
      <c r="D3" s="5" t="s">
        <v>1787</v>
      </c>
      <c r="E3" s="5" t="s">
        <v>1783</v>
      </c>
      <c r="F3" s="5" t="s">
        <v>228</v>
      </c>
      <c r="G3" s="5"/>
    </row>
    <row r="4" customFormat="false" ht="23.85" hidden="false" customHeight="false" outlineLevel="0" collapsed="false">
      <c r="A4" s="5" t="s">
        <v>378</v>
      </c>
      <c r="B4" s="5" t="s">
        <v>1788</v>
      </c>
      <c r="C4" s="5" t="s">
        <v>1789</v>
      </c>
      <c r="D4" s="5" t="s">
        <v>1790</v>
      </c>
      <c r="E4" s="5" t="s">
        <v>1783</v>
      </c>
      <c r="F4" s="5" t="s">
        <v>228</v>
      </c>
      <c r="G4" s="5"/>
    </row>
    <row r="5" customFormat="false" ht="15" hidden="false" customHeight="false" outlineLevel="0" collapsed="false">
      <c r="A5" s="5" t="s">
        <v>371</v>
      </c>
      <c r="B5" s="5" t="s">
        <v>1791</v>
      </c>
      <c r="C5" s="5" t="s">
        <v>1792</v>
      </c>
      <c r="D5" s="5" t="s">
        <v>1793</v>
      </c>
      <c r="E5" s="5" t="s">
        <v>1783</v>
      </c>
      <c r="F5" s="5" t="s">
        <v>228</v>
      </c>
      <c r="G5" s="5"/>
    </row>
    <row r="6" customFormat="false" ht="15" hidden="false" customHeight="false" outlineLevel="0" collapsed="false">
      <c r="A6" s="5" t="s">
        <v>1794</v>
      </c>
      <c r="B6" s="5" t="s">
        <v>1795</v>
      </c>
      <c r="C6" s="5" t="s">
        <v>1796</v>
      </c>
      <c r="D6" s="5" t="s">
        <v>1797</v>
      </c>
      <c r="E6" s="5" t="s">
        <v>1783</v>
      </c>
      <c r="F6" s="5" t="s">
        <v>228</v>
      </c>
      <c r="G6" s="5"/>
    </row>
    <row r="7" customFormat="false" ht="15" hidden="false" customHeight="false" outlineLevel="0" collapsed="false">
      <c r="A7" s="5" t="s">
        <v>1798</v>
      </c>
      <c r="B7" s="5" t="s">
        <v>1799</v>
      </c>
      <c r="C7" s="5" t="s">
        <v>1800</v>
      </c>
      <c r="D7" s="5" t="s">
        <v>1801</v>
      </c>
      <c r="E7" s="5" t="s">
        <v>1783</v>
      </c>
      <c r="F7" s="5" t="s">
        <v>228</v>
      </c>
      <c r="G7" s="5"/>
    </row>
    <row r="8" customFormat="false" ht="15" hidden="false" customHeight="false" outlineLevel="0" collapsed="false">
      <c r="A8" s="5" t="s">
        <v>1802</v>
      </c>
      <c r="B8" s="5" t="s">
        <v>522</v>
      </c>
      <c r="C8" s="5" t="s">
        <v>1803</v>
      </c>
      <c r="D8" s="5" t="s">
        <v>1804</v>
      </c>
      <c r="E8" s="5" t="s">
        <v>1783</v>
      </c>
      <c r="F8" s="5" t="s">
        <v>228</v>
      </c>
      <c r="G8" s="5" t="s">
        <v>219</v>
      </c>
    </row>
    <row r="9" customFormat="false" ht="15" hidden="false" customHeight="false" outlineLevel="0" collapsed="false">
      <c r="A9" s="5" t="s">
        <v>1805</v>
      </c>
      <c r="B9" s="5" t="s">
        <v>280</v>
      </c>
      <c r="C9" s="5" t="s">
        <v>1806</v>
      </c>
      <c r="D9" s="5" t="s">
        <v>1807</v>
      </c>
      <c r="E9" s="5" t="s">
        <v>1783</v>
      </c>
      <c r="F9" s="5" t="s">
        <v>228</v>
      </c>
      <c r="G9" s="5"/>
    </row>
    <row r="10" customFormat="false" ht="15" hidden="false" customHeight="false" outlineLevel="0" collapsed="false">
      <c r="A10" s="5" t="s">
        <v>1808</v>
      </c>
      <c r="B10" s="5" t="s">
        <v>241</v>
      </c>
      <c r="C10" s="5" t="s">
        <v>1809</v>
      </c>
      <c r="D10" s="5" t="s">
        <v>1810</v>
      </c>
      <c r="E10" s="5" t="s">
        <v>1783</v>
      </c>
      <c r="F10" s="5" t="s">
        <v>238</v>
      </c>
      <c r="G10" s="5" t="s">
        <v>240</v>
      </c>
    </row>
    <row r="11" customFormat="false" ht="15" hidden="false" customHeight="false" outlineLevel="0" collapsed="false">
      <c r="A11" s="5" t="s">
        <v>1811</v>
      </c>
      <c r="B11" s="5" t="s">
        <v>252</v>
      </c>
      <c r="C11" s="5" t="s">
        <v>1812</v>
      </c>
      <c r="D11" s="5" t="s">
        <v>1813</v>
      </c>
      <c r="E11" s="5" t="s">
        <v>1783</v>
      </c>
      <c r="F11" s="5" t="s">
        <v>238</v>
      </c>
      <c r="G11" s="5" t="s">
        <v>251</v>
      </c>
    </row>
    <row r="12" customFormat="false" ht="15" hidden="false" customHeight="false" outlineLevel="0" collapsed="false">
      <c r="A12" s="5" t="s">
        <v>1814</v>
      </c>
      <c r="B12" s="5" t="s">
        <v>221</v>
      </c>
      <c r="C12" s="5" t="s">
        <v>1815</v>
      </c>
      <c r="D12" s="5" t="s">
        <v>1816</v>
      </c>
      <c r="E12" s="5" t="s">
        <v>1783</v>
      </c>
      <c r="F12" s="5" t="s">
        <v>228</v>
      </c>
      <c r="G12" s="5" t="s">
        <v>219</v>
      </c>
    </row>
    <row r="13" customFormat="false" ht="15" hidden="false" customHeight="false" outlineLevel="0" collapsed="false">
      <c r="A13" s="5" t="s">
        <v>1817</v>
      </c>
      <c r="B13" s="5" t="s">
        <v>320</v>
      </c>
      <c r="C13" s="5" t="s">
        <v>1815</v>
      </c>
      <c r="D13" s="5" t="s">
        <v>1818</v>
      </c>
      <c r="E13" s="5" t="s">
        <v>1783</v>
      </c>
      <c r="F13" s="5" t="s">
        <v>228</v>
      </c>
      <c r="G13" s="5" t="s">
        <v>319</v>
      </c>
    </row>
    <row r="14" customFormat="false" ht="15" hidden="false" customHeight="false" outlineLevel="0" collapsed="false">
      <c r="A14" s="5" t="s">
        <v>1819</v>
      </c>
      <c r="B14" s="5" t="s">
        <v>1820</v>
      </c>
      <c r="C14" s="5" t="s">
        <v>1821</v>
      </c>
      <c r="D14" s="5" t="s">
        <v>1822</v>
      </c>
      <c r="E14" s="5" t="s">
        <v>1783</v>
      </c>
      <c r="F14" s="5" t="s">
        <v>238</v>
      </c>
      <c r="G14" s="5" t="s">
        <v>293</v>
      </c>
    </row>
    <row r="15" customFormat="false" ht="46.25" hidden="false" customHeight="false" outlineLevel="0" collapsed="false">
      <c r="A15" s="5" t="s">
        <v>1823</v>
      </c>
      <c r="B15" s="5" t="s">
        <v>280</v>
      </c>
      <c r="C15" s="5" t="s">
        <v>1824</v>
      </c>
      <c r="D15" s="5" t="s">
        <v>1825</v>
      </c>
      <c r="E15" s="5" t="s">
        <v>1826</v>
      </c>
      <c r="F15" s="5" t="s">
        <v>238</v>
      </c>
      <c r="G15" s="5" t="s">
        <v>279</v>
      </c>
    </row>
    <row r="16" customFormat="false" ht="23.85" hidden="false" customHeight="false" outlineLevel="0" collapsed="false">
      <c r="A16" s="6" t="s">
        <v>1827</v>
      </c>
      <c r="B16" s="6" t="s">
        <v>1828</v>
      </c>
      <c r="C16" s="6" t="s">
        <v>1829</v>
      </c>
      <c r="D16" s="6" t="s">
        <v>1830</v>
      </c>
      <c r="E16" s="6" t="s">
        <v>639</v>
      </c>
      <c r="F16" s="6" t="s">
        <v>1831</v>
      </c>
      <c r="G16" s="6"/>
    </row>
    <row r="17" customFormat="false" ht="15" hidden="false" customHeight="false" outlineLevel="0" collapsed="false">
      <c r="A17" s="5" t="s">
        <v>1832</v>
      </c>
      <c r="B17" s="5" t="s">
        <v>1833</v>
      </c>
      <c r="C17" s="5" t="s">
        <v>1834</v>
      </c>
      <c r="D17" s="5" t="s">
        <v>1835</v>
      </c>
      <c r="E17" s="5" t="s">
        <v>1836</v>
      </c>
      <c r="F17" s="5" t="s">
        <v>228</v>
      </c>
      <c r="G17" s="5"/>
    </row>
    <row r="18" customFormat="false" ht="15" hidden="false" customHeight="false" outlineLevel="0" collapsed="false">
      <c r="A18" s="5" t="s">
        <v>1837</v>
      </c>
      <c r="B18" s="5" t="s">
        <v>1838</v>
      </c>
      <c r="C18" s="5" t="s">
        <v>1839</v>
      </c>
      <c r="D18" s="5" t="s">
        <v>1840</v>
      </c>
      <c r="E18" s="5" t="s">
        <v>1836</v>
      </c>
      <c r="F18" s="5" t="s">
        <v>228</v>
      </c>
      <c r="G18" s="5"/>
    </row>
    <row r="19" customFormat="false" ht="15" hidden="false" customHeight="false" outlineLevel="0" collapsed="false">
      <c r="A19" s="5" t="s">
        <v>1841</v>
      </c>
      <c r="B19" s="5" t="s">
        <v>1842</v>
      </c>
      <c r="C19" s="5" t="s">
        <v>1843</v>
      </c>
      <c r="D19" s="5" t="s">
        <v>1844</v>
      </c>
      <c r="E19" s="5" t="s">
        <v>1836</v>
      </c>
      <c r="F19" s="5" t="s">
        <v>228</v>
      </c>
      <c r="G19" s="5"/>
    </row>
    <row r="20" customFormat="false" ht="35.05" hidden="false" customHeight="false" outlineLevel="0" collapsed="false">
      <c r="A20" s="5" t="s">
        <v>1845</v>
      </c>
      <c r="B20" s="5" t="s">
        <v>1846</v>
      </c>
      <c r="C20" s="5" t="s">
        <v>1847</v>
      </c>
      <c r="D20" s="5" t="s">
        <v>1848</v>
      </c>
      <c r="E20" s="5" t="s">
        <v>1783</v>
      </c>
      <c r="F20" s="5" t="s">
        <v>238</v>
      </c>
      <c r="G20" s="5" t="s">
        <v>1849</v>
      </c>
    </row>
    <row r="21" customFormat="false" ht="15" hidden="false" customHeight="false" outlineLevel="0" collapsed="false">
      <c r="A21" s="5" t="s">
        <v>1850</v>
      </c>
      <c r="B21" s="5" t="s">
        <v>1851</v>
      </c>
      <c r="C21" s="5" t="s">
        <v>1852</v>
      </c>
      <c r="D21" s="5" t="s">
        <v>1853</v>
      </c>
      <c r="E21" s="5" t="s">
        <v>1783</v>
      </c>
      <c r="F21" s="5" t="s">
        <v>238</v>
      </c>
      <c r="G21" s="5" t="s">
        <v>1854</v>
      </c>
    </row>
    <row r="22" customFormat="false" ht="15" hidden="false" customHeight="false" outlineLevel="0" collapsed="false">
      <c r="A22" s="5" t="s">
        <v>1855</v>
      </c>
      <c r="B22" s="5" t="s">
        <v>1851</v>
      </c>
      <c r="C22" s="5" t="s">
        <v>1856</v>
      </c>
      <c r="D22" s="5" t="s">
        <v>1857</v>
      </c>
      <c r="E22" s="5" t="s">
        <v>1783</v>
      </c>
      <c r="F22" s="5" t="s">
        <v>228</v>
      </c>
      <c r="G22" s="5" t="s">
        <v>1858</v>
      </c>
    </row>
    <row r="23" customFormat="false" ht="23.85" hidden="false" customHeight="false" outlineLevel="0" collapsed="false">
      <c r="A23" s="5" t="s">
        <v>1859</v>
      </c>
      <c r="B23" s="5" t="s">
        <v>513</v>
      </c>
      <c r="C23" s="5" t="s">
        <v>1860</v>
      </c>
      <c r="D23" s="5" t="s">
        <v>1861</v>
      </c>
      <c r="E23" s="5" t="s">
        <v>1836</v>
      </c>
      <c r="F23" s="5" t="s">
        <v>228</v>
      </c>
      <c r="G23" s="5"/>
    </row>
    <row r="24" customFormat="false" ht="23.85" hidden="false" customHeight="false" outlineLevel="0" collapsed="false">
      <c r="A24" s="5" t="s">
        <v>1862</v>
      </c>
      <c r="B24" s="5" t="s">
        <v>594</v>
      </c>
      <c r="C24" s="5" t="s">
        <v>1863</v>
      </c>
      <c r="D24" s="5" t="s">
        <v>1864</v>
      </c>
      <c r="E24" s="5" t="s">
        <v>1783</v>
      </c>
      <c r="F24" s="5" t="s">
        <v>238</v>
      </c>
      <c r="G24" s="5" t="s">
        <v>592</v>
      </c>
    </row>
    <row r="25" customFormat="false" ht="23.85" hidden="false" customHeight="false" outlineLevel="0" collapsed="false">
      <c r="A25" s="5" t="s">
        <v>1865</v>
      </c>
      <c r="B25" s="5" t="s">
        <v>286</v>
      </c>
      <c r="C25" s="5" t="s">
        <v>1866</v>
      </c>
      <c r="D25" s="5" t="s">
        <v>1867</v>
      </c>
      <c r="E25" s="5" t="s">
        <v>1868</v>
      </c>
      <c r="F25" s="5" t="s">
        <v>238</v>
      </c>
      <c r="G25" s="5" t="s">
        <v>1869</v>
      </c>
    </row>
    <row r="26" customFormat="false" ht="15" hidden="false" customHeight="false" outlineLevel="0" collapsed="false">
      <c r="A26" s="5" t="s">
        <v>1870</v>
      </c>
      <c r="B26" s="5" t="s">
        <v>557</v>
      </c>
      <c r="C26" s="5" t="s">
        <v>1871</v>
      </c>
      <c r="D26" s="5" t="s">
        <v>1872</v>
      </c>
      <c r="E26" s="5" t="s">
        <v>1783</v>
      </c>
      <c r="F26" s="5" t="s">
        <v>228</v>
      </c>
      <c r="G26" s="5" t="s">
        <v>556</v>
      </c>
    </row>
    <row r="27" customFormat="false" ht="15" hidden="false" customHeight="false" outlineLevel="0" collapsed="false">
      <c r="A27" s="5" t="s">
        <v>1873</v>
      </c>
      <c r="B27" s="5" t="s">
        <v>609</v>
      </c>
      <c r="C27" s="5" t="s">
        <v>1874</v>
      </c>
      <c r="D27" s="5" t="s">
        <v>1875</v>
      </c>
      <c r="E27" s="5" t="s">
        <v>1783</v>
      </c>
      <c r="F27" s="5" t="s">
        <v>228</v>
      </c>
      <c r="G27" s="5" t="s">
        <v>606</v>
      </c>
    </row>
    <row r="28" customFormat="false" ht="15" hidden="false" customHeight="false" outlineLevel="0" collapsed="false">
      <c r="A28" s="5" t="s">
        <v>1876</v>
      </c>
      <c r="B28" s="5" t="s">
        <v>618</v>
      </c>
      <c r="C28" s="5" t="s">
        <v>131</v>
      </c>
      <c r="D28" s="5" t="s">
        <v>1877</v>
      </c>
      <c r="E28" s="5" t="s">
        <v>1783</v>
      </c>
      <c r="F28" s="5" t="s">
        <v>228</v>
      </c>
      <c r="G28" s="5" t="s">
        <v>1878</v>
      </c>
    </row>
    <row r="29" customFormat="false" ht="15" hidden="false" customHeight="false" outlineLevel="0" collapsed="false">
      <c r="A29" s="5" t="s">
        <v>1879</v>
      </c>
      <c r="B29" s="5" t="s">
        <v>696</v>
      </c>
      <c r="C29" s="5" t="s">
        <v>310</v>
      </c>
      <c r="D29" s="5" t="s">
        <v>1880</v>
      </c>
      <c r="E29" s="5" t="s">
        <v>1783</v>
      </c>
      <c r="F29" s="5" t="s">
        <v>238</v>
      </c>
      <c r="G29" s="5" t="s">
        <v>694</v>
      </c>
    </row>
    <row r="30" customFormat="false" ht="23.85" hidden="false" customHeight="false" outlineLevel="0" collapsed="false">
      <c r="A30" s="5" t="s">
        <v>1881</v>
      </c>
      <c r="B30" s="5" t="s">
        <v>702</v>
      </c>
      <c r="C30" s="5" t="s">
        <v>1882</v>
      </c>
      <c r="D30" s="5" t="s">
        <v>1883</v>
      </c>
      <c r="E30" s="5" t="s">
        <v>1783</v>
      </c>
      <c r="F30" s="5" t="s">
        <v>238</v>
      </c>
      <c r="G30" s="5" t="s">
        <v>701</v>
      </c>
    </row>
    <row r="31" customFormat="false" ht="15" hidden="false" customHeight="false" outlineLevel="0" collapsed="false">
      <c r="A31" s="5" t="s">
        <v>1884</v>
      </c>
      <c r="B31" s="5" t="s">
        <v>728</v>
      </c>
      <c r="C31" s="5" t="s">
        <v>1885</v>
      </c>
      <c r="D31" s="5" t="s">
        <v>1886</v>
      </c>
      <c r="E31" s="5" t="s">
        <v>1783</v>
      </c>
      <c r="F31" s="5" t="s">
        <v>228</v>
      </c>
      <c r="G31" s="5"/>
    </row>
    <row r="32" customFormat="false" ht="23.85" hidden="false" customHeight="false" outlineLevel="0" collapsed="false">
      <c r="A32" s="5" t="s">
        <v>1887</v>
      </c>
      <c r="B32" s="5" t="s">
        <v>1888</v>
      </c>
      <c r="C32" s="5" t="s">
        <v>1889</v>
      </c>
      <c r="D32" s="5" t="s">
        <v>1890</v>
      </c>
      <c r="E32" s="5" t="s">
        <v>1836</v>
      </c>
      <c r="F32" s="5" t="s">
        <v>228</v>
      </c>
      <c r="G32" s="5"/>
    </row>
    <row r="33" customFormat="false" ht="15" hidden="false" customHeight="false" outlineLevel="0" collapsed="false">
      <c r="A33" s="5" t="s">
        <v>1891</v>
      </c>
      <c r="B33" s="5" t="s">
        <v>1892</v>
      </c>
      <c r="C33" s="5" t="s">
        <v>1893</v>
      </c>
      <c r="D33" s="5" t="s">
        <v>1894</v>
      </c>
      <c r="E33" s="5" t="s">
        <v>1783</v>
      </c>
      <c r="F33" s="5" t="s">
        <v>238</v>
      </c>
      <c r="G33" s="5" t="s">
        <v>586</v>
      </c>
    </row>
    <row r="34" customFormat="false" ht="15" hidden="false" customHeight="false" outlineLevel="0" collapsed="false">
      <c r="A34" s="5" t="s">
        <v>1895</v>
      </c>
      <c r="B34" s="5" t="s">
        <v>571</v>
      </c>
      <c r="C34" s="5" t="s">
        <v>1896</v>
      </c>
      <c r="D34" s="5" t="s">
        <v>637</v>
      </c>
      <c r="E34" s="5" t="s">
        <v>639</v>
      </c>
      <c r="F34" s="5" t="s">
        <v>238</v>
      </c>
      <c r="G34" s="5" t="s">
        <v>570</v>
      </c>
    </row>
    <row r="35" customFormat="false" ht="15" hidden="false" customHeight="false" outlineLevel="0" collapsed="false">
      <c r="A35" s="5" t="s">
        <v>1897</v>
      </c>
      <c r="B35" s="5" t="s">
        <v>1898</v>
      </c>
      <c r="C35" s="5" t="s">
        <v>1899</v>
      </c>
      <c r="D35" s="5" t="s">
        <v>1900</v>
      </c>
      <c r="E35" s="5" t="s">
        <v>1783</v>
      </c>
      <c r="F35" s="5" t="s">
        <v>228</v>
      </c>
      <c r="G35" s="5"/>
    </row>
    <row r="36" customFormat="false" ht="23.85" hidden="false" customHeight="false" outlineLevel="0" collapsed="false">
      <c r="A36" s="5" t="s">
        <v>1901</v>
      </c>
      <c r="B36" s="5" t="s">
        <v>1902</v>
      </c>
      <c r="C36" s="5" t="s">
        <v>1903</v>
      </c>
      <c r="D36" s="5" t="s">
        <v>1904</v>
      </c>
      <c r="E36" s="5" t="s">
        <v>1783</v>
      </c>
      <c r="F36" s="5" t="s">
        <v>212</v>
      </c>
      <c r="G36" s="5"/>
    </row>
    <row r="37" customFormat="false" ht="23.85" hidden="false" customHeight="false" outlineLevel="0" collapsed="false">
      <c r="A37" s="5" t="s">
        <v>1905</v>
      </c>
      <c r="B37" s="5" t="s">
        <v>1906</v>
      </c>
      <c r="C37" s="5" t="s">
        <v>1907</v>
      </c>
      <c r="D37" s="5" t="s">
        <v>1908</v>
      </c>
      <c r="E37" s="5" t="s">
        <v>1783</v>
      </c>
      <c r="F37" s="5" t="s">
        <v>212</v>
      </c>
      <c r="G37" s="5"/>
    </row>
    <row r="38" customFormat="false" ht="23.85" hidden="false" customHeight="false" outlineLevel="0" collapsed="false">
      <c r="A38" s="5" t="s">
        <v>1909</v>
      </c>
      <c r="B38" s="5" t="s">
        <v>1910</v>
      </c>
      <c r="C38" s="5" t="s">
        <v>1911</v>
      </c>
      <c r="D38" s="5" t="s">
        <v>1912</v>
      </c>
      <c r="E38" s="5" t="s">
        <v>1783</v>
      </c>
      <c r="F38" s="5" t="s">
        <v>238</v>
      </c>
      <c r="G38" s="5" t="s">
        <v>1913</v>
      </c>
    </row>
    <row r="39" customFormat="false" ht="15" hidden="false" customHeight="false" outlineLevel="0" collapsed="false">
      <c r="A39" s="5" t="s">
        <v>1914</v>
      </c>
      <c r="B39" s="5" t="s">
        <v>1915</v>
      </c>
      <c r="C39" s="5" t="s">
        <v>1916</v>
      </c>
      <c r="D39" s="5" t="s">
        <v>1917</v>
      </c>
      <c r="E39" s="5" t="s">
        <v>1783</v>
      </c>
      <c r="F39" s="5" t="s">
        <v>277</v>
      </c>
      <c r="G39" s="5" t="s">
        <v>1918</v>
      </c>
    </row>
    <row r="40" customFormat="false" ht="15" hidden="false" customHeight="false" outlineLevel="0" collapsed="false">
      <c r="A40" s="5" t="s">
        <v>1919</v>
      </c>
      <c r="B40" s="5" t="s">
        <v>231</v>
      </c>
      <c r="C40" s="5" t="s">
        <v>1920</v>
      </c>
      <c r="D40" s="5" t="s">
        <v>1921</v>
      </c>
      <c r="E40" s="5" t="s">
        <v>1783</v>
      </c>
      <c r="F40" s="5" t="s">
        <v>277</v>
      </c>
      <c r="G40" s="5" t="s">
        <v>230</v>
      </c>
    </row>
    <row r="41" customFormat="false" ht="15" hidden="false" customHeight="false" outlineLevel="0" collapsed="false">
      <c r="A41" s="5" t="s">
        <v>1922</v>
      </c>
      <c r="B41" s="5" t="s">
        <v>261</v>
      </c>
      <c r="C41" s="5" t="s">
        <v>1923</v>
      </c>
      <c r="D41" s="5" t="s">
        <v>1924</v>
      </c>
      <c r="E41" s="5" t="s">
        <v>1783</v>
      </c>
      <c r="F41" s="5" t="s">
        <v>277</v>
      </c>
      <c r="G41" s="5" t="s">
        <v>260</v>
      </c>
    </row>
    <row r="42" customFormat="false" ht="35.05" hidden="false" customHeight="false" outlineLevel="0" collapsed="false">
      <c r="A42" s="5" t="s">
        <v>1925</v>
      </c>
      <c r="B42" s="5" t="s">
        <v>261</v>
      </c>
      <c r="C42" s="5" t="s">
        <v>1926</v>
      </c>
      <c r="D42" s="5" t="s">
        <v>1927</v>
      </c>
      <c r="E42" s="5" t="s">
        <v>1928</v>
      </c>
      <c r="F42" s="5" t="s">
        <v>277</v>
      </c>
      <c r="G42" s="5" t="s">
        <v>230</v>
      </c>
    </row>
    <row r="43" customFormat="false" ht="15" hidden="false" customHeight="false" outlineLevel="0" collapsed="false">
      <c r="A43" s="5" t="s">
        <v>1929</v>
      </c>
      <c r="B43" s="5" t="s">
        <v>271</v>
      </c>
      <c r="C43" s="5" t="s">
        <v>1930</v>
      </c>
      <c r="D43" s="5" t="s">
        <v>1931</v>
      </c>
      <c r="E43" s="5" t="s">
        <v>1783</v>
      </c>
      <c r="F43" s="5" t="s">
        <v>277</v>
      </c>
      <c r="G43" s="5" t="s">
        <v>270</v>
      </c>
    </row>
    <row r="44" customFormat="false" ht="57.45" hidden="false" customHeight="false" outlineLevel="0" collapsed="false">
      <c r="A44" s="5" t="s">
        <v>1932</v>
      </c>
      <c r="B44" s="5" t="s">
        <v>280</v>
      </c>
      <c r="C44" s="5" t="s">
        <v>1933</v>
      </c>
      <c r="D44" s="5" t="s">
        <v>1934</v>
      </c>
      <c r="E44" s="5" t="s">
        <v>1935</v>
      </c>
      <c r="F44" s="5" t="s">
        <v>277</v>
      </c>
      <c r="G44" s="5" t="s">
        <v>1936</v>
      </c>
    </row>
    <row r="45" customFormat="false" ht="23.85" hidden="false" customHeight="false" outlineLevel="0" collapsed="false">
      <c r="A45" s="5" t="s">
        <v>1937</v>
      </c>
      <c r="B45" s="5" t="s">
        <v>301</v>
      </c>
      <c r="C45" s="5" t="s">
        <v>1938</v>
      </c>
      <c r="D45" s="5" t="s">
        <v>1939</v>
      </c>
      <c r="E45" s="5" t="s">
        <v>1783</v>
      </c>
      <c r="F45" s="5" t="s">
        <v>277</v>
      </c>
      <c r="G45" s="5" t="s">
        <v>300</v>
      </c>
    </row>
    <row r="46" customFormat="false" ht="23.85" hidden="false" customHeight="false" outlineLevel="0" collapsed="false">
      <c r="A46" s="5" t="s">
        <v>1940</v>
      </c>
      <c r="B46" s="5" t="s">
        <v>307</v>
      </c>
      <c r="C46" s="5" t="s">
        <v>1941</v>
      </c>
      <c r="D46" s="5" t="s">
        <v>1942</v>
      </c>
      <c r="E46" s="5" t="s">
        <v>1783</v>
      </c>
      <c r="F46" s="5" t="s">
        <v>277</v>
      </c>
      <c r="G46" s="5" t="s">
        <v>306</v>
      </c>
    </row>
    <row r="47" customFormat="false" ht="23.85" hidden="false" customHeight="false" outlineLevel="0" collapsed="false">
      <c r="A47" s="5" t="s">
        <v>1943</v>
      </c>
      <c r="B47" s="5" t="s">
        <v>314</v>
      </c>
      <c r="C47" s="5" t="s">
        <v>1944</v>
      </c>
      <c r="D47" s="5" t="s">
        <v>1945</v>
      </c>
      <c r="E47" s="5" t="s">
        <v>1783</v>
      </c>
      <c r="F47" s="5" t="s">
        <v>277</v>
      </c>
      <c r="G47" s="5" t="s">
        <v>306</v>
      </c>
    </row>
    <row r="48" customFormat="false" ht="23.85" hidden="false" customHeight="false" outlineLevel="0" collapsed="false">
      <c r="A48" s="5" t="s">
        <v>1946</v>
      </c>
      <c r="B48" s="5" t="s">
        <v>1947</v>
      </c>
      <c r="C48" s="5" t="s">
        <v>1948</v>
      </c>
      <c r="D48" s="5" t="s">
        <v>1949</v>
      </c>
      <c r="E48" s="5" t="s">
        <v>1783</v>
      </c>
      <c r="F48" s="5" t="s">
        <v>277</v>
      </c>
      <c r="G48" s="5" t="s">
        <v>521</v>
      </c>
    </row>
    <row r="49" customFormat="false" ht="15" hidden="false" customHeight="false" outlineLevel="0" collapsed="false">
      <c r="A49" s="5" t="s">
        <v>1950</v>
      </c>
      <c r="B49" s="5" t="s">
        <v>513</v>
      </c>
      <c r="C49" s="5" t="s">
        <v>516</v>
      </c>
      <c r="D49" s="5" t="s">
        <v>1951</v>
      </c>
      <c r="E49" s="5" t="s">
        <v>1783</v>
      </c>
      <c r="F49" s="5" t="s">
        <v>277</v>
      </c>
      <c r="G49" s="5" t="s">
        <v>512</v>
      </c>
    </row>
    <row r="50" customFormat="false" ht="15" hidden="false" customHeight="false" outlineLevel="0" collapsed="false">
      <c r="A50" s="5" t="s">
        <v>1952</v>
      </c>
      <c r="B50" s="5" t="s">
        <v>562</v>
      </c>
      <c r="C50" s="5" t="s">
        <v>566</v>
      </c>
      <c r="D50" s="5" t="s">
        <v>1953</v>
      </c>
      <c r="E50" s="5" t="s">
        <v>1783</v>
      </c>
      <c r="F50" s="5" t="s">
        <v>277</v>
      </c>
      <c r="G50" s="5" t="s">
        <v>560</v>
      </c>
    </row>
    <row r="51" customFormat="false" ht="15" hidden="false" customHeight="false" outlineLevel="0" collapsed="false">
      <c r="A51" s="5" t="s">
        <v>1954</v>
      </c>
      <c r="B51" s="5" t="s">
        <v>571</v>
      </c>
      <c r="C51" s="5" t="s">
        <v>1955</v>
      </c>
      <c r="D51" s="5" t="s">
        <v>1956</v>
      </c>
      <c r="E51" s="5" t="s">
        <v>1783</v>
      </c>
      <c r="F51" s="5" t="s">
        <v>277</v>
      </c>
      <c r="G51" s="5" t="s">
        <v>570</v>
      </c>
    </row>
    <row r="52" customFormat="false" ht="15" hidden="false" customHeight="false" outlineLevel="0" collapsed="false">
      <c r="A52" s="5" t="s">
        <v>1957</v>
      </c>
      <c r="B52" s="5" t="s">
        <v>578</v>
      </c>
      <c r="C52" s="5" t="s">
        <v>583</v>
      </c>
      <c r="D52" s="5" t="s">
        <v>1958</v>
      </c>
      <c r="E52" s="5" t="s">
        <v>1783</v>
      </c>
      <c r="F52" s="5" t="s">
        <v>277</v>
      </c>
      <c r="G52" s="5" t="s">
        <v>577</v>
      </c>
    </row>
    <row r="53" customFormat="false" ht="15" hidden="false" customHeight="false" outlineLevel="0" collapsed="false">
      <c r="A53" s="5" t="s">
        <v>1959</v>
      </c>
      <c r="B53" s="5" t="s">
        <v>1960</v>
      </c>
      <c r="C53" s="5" t="s">
        <v>1961</v>
      </c>
      <c r="D53" s="5" t="s">
        <v>1962</v>
      </c>
      <c r="E53" s="5" t="s">
        <v>1783</v>
      </c>
      <c r="F53" s="5" t="s">
        <v>277</v>
      </c>
      <c r="G53" s="5" t="s">
        <v>1963</v>
      </c>
    </row>
    <row r="54" customFormat="false" ht="23.85" hidden="false" customHeight="false" outlineLevel="0" collapsed="false">
      <c r="A54" s="5" t="s">
        <v>1964</v>
      </c>
      <c r="B54" s="5" t="s">
        <v>1965</v>
      </c>
      <c r="C54" s="5" t="s">
        <v>1966</v>
      </c>
      <c r="D54" s="5" t="s">
        <v>1967</v>
      </c>
      <c r="E54" s="5" t="s">
        <v>639</v>
      </c>
      <c r="F54" s="5" t="s">
        <v>277</v>
      </c>
      <c r="G54" s="5" t="s">
        <v>655</v>
      </c>
    </row>
    <row r="55" customFormat="false" ht="15" hidden="false" customHeight="false" outlineLevel="0" collapsed="false">
      <c r="A55" s="5" t="s">
        <v>1968</v>
      </c>
      <c r="B55" s="5" t="s">
        <v>1969</v>
      </c>
      <c r="C55" s="5" t="s">
        <v>1970</v>
      </c>
      <c r="D55" s="5" t="s">
        <v>1971</v>
      </c>
      <c r="E55" s="5" t="s">
        <v>1783</v>
      </c>
      <c r="F55" s="5" t="s">
        <v>277</v>
      </c>
      <c r="G55" s="5" t="s">
        <v>1858</v>
      </c>
    </row>
    <row r="56" customFormat="false" ht="35.05" hidden="false" customHeight="false" outlineLevel="0" collapsed="false">
      <c r="A56" s="5" t="s">
        <v>1972</v>
      </c>
      <c r="B56" s="5" t="s">
        <v>1969</v>
      </c>
      <c r="C56" s="5" t="s">
        <v>1973</v>
      </c>
      <c r="D56" s="5" t="s">
        <v>1974</v>
      </c>
      <c r="E56" s="5" t="s">
        <v>1783</v>
      </c>
      <c r="F56" s="5" t="s">
        <v>277</v>
      </c>
      <c r="G56" s="5" t="s">
        <v>1913</v>
      </c>
    </row>
    <row r="57" customFormat="false" ht="23.85" hidden="false" customHeight="false" outlineLevel="0" collapsed="false">
      <c r="A57" s="5" t="s">
        <v>1975</v>
      </c>
      <c r="B57" s="5" t="s">
        <v>1976</v>
      </c>
      <c r="C57" s="5" t="s">
        <v>1977</v>
      </c>
      <c r="D57" s="5" t="s">
        <v>1978</v>
      </c>
      <c r="E57" s="5" t="s">
        <v>1783</v>
      </c>
      <c r="F57" s="5" t="s">
        <v>277</v>
      </c>
      <c r="G57" s="5" t="s">
        <v>1979</v>
      </c>
    </row>
    <row r="58" customFormat="false" ht="35.05" hidden="false" customHeight="false" outlineLevel="0" collapsed="false">
      <c r="A58" s="5" t="s">
        <v>1980</v>
      </c>
      <c r="B58" s="5" t="s">
        <v>1976</v>
      </c>
      <c r="C58" s="5" t="s">
        <v>1981</v>
      </c>
      <c r="D58" s="5" t="s">
        <v>1982</v>
      </c>
      <c r="E58" s="5" t="s">
        <v>1783</v>
      </c>
      <c r="F58" s="5" t="s">
        <v>277</v>
      </c>
      <c r="G58" s="5" t="s">
        <v>1979</v>
      </c>
    </row>
    <row r="59" customFormat="false" ht="23.85" hidden="false" customHeight="false" outlineLevel="0" collapsed="false">
      <c r="A59" s="5" t="s">
        <v>1983</v>
      </c>
      <c r="B59" s="5" t="s">
        <v>1984</v>
      </c>
      <c r="C59" s="5" t="s">
        <v>1985</v>
      </c>
      <c r="D59" s="5" t="s">
        <v>1986</v>
      </c>
      <c r="E59" s="5" t="s">
        <v>1783</v>
      </c>
      <c r="F59" s="5" t="s">
        <v>277</v>
      </c>
      <c r="G59" s="5" t="s">
        <v>1987</v>
      </c>
    </row>
    <row r="60" customFormat="false" ht="35.05" hidden="false" customHeight="false" outlineLevel="0" collapsed="false">
      <c r="A60" s="5" t="s">
        <v>1988</v>
      </c>
      <c r="B60" s="5" t="s">
        <v>1989</v>
      </c>
      <c r="C60" s="5" t="s">
        <v>1990</v>
      </c>
      <c r="D60" s="5" t="s">
        <v>1991</v>
      </c>
      <c r="E60" s="5" t="s">
        <v>1783</v>
      </c>
      <c r="F60" s="5" t="s">
        <v>277</v>
      </c>
      <c r="G60" s="5" t="s">
        <v>1992</v>
      </c>
    </row>
    <row r="61" customFormat="false" ht="46.25" hidden="false" customHeight="false" outlineLevel="0" collapsed="false">
      <c r="A61" s="5" t="s">
        <v>1993</v>
      </c>
      <c r="B61" s="5" t="s">
        <v>1994</v>
      </c>
      <c r="C61" s="5" t="s">
        <v>1995</v>
      </c>
      <c r="D61" s="5" t="s">
        <v>1996</v>
      </c>
      <c r="E61" s="5" t="s">
        <v>1783</v>
      </c>
      <c r="F61" s="5" t="s">
        <v>212</v>
      </c>
      <c r="G61" s="5" t="s">
        <v>1997</v>
      </c>
    </row>
    <row r="62" customFormat="false" ht="15" hidden="false" customHeight="false" outlineLevel="0" collapsed="false">
      <c r="A62" s="5" t="s">
        <v>1998</v>
      </c>
      <c r="B62" s="5" t="s">
        <v>600</v>
      </c>
      <c r="C62" s="5" t="s">
        <v>1999</v>
      </c>
      <c r="D62" s="5" t="s">
        <v>2000</v>
      </c>
      <c r="E62" s="5" t="s">
        <v>1783</v>
      </c>
      <c r="F62" s="5" t="s">
        <v>277</v>
      </c>
      <c r="G62" s="5" t="s">
        <v>599</v>
      </c>
    </row>
    <row r="63" customFormat="false" ht="23.85" hidden="false" customHeight="false" outlineLevel="0" collapsed="false">
      <c r="A63" s="5" t="s">
        <v>2001</v>
      </c>
      <c r="B63" s="5" t="s">
        <v>2002</v>
      </c>
      <c r="C63" s="5" t="s">
        <v>2003</v>
      </c>
      <c r="D63" s="5" t="s">
        <v>2004</v>
      </c>
      <c r="E63" s="5" t="s">
        <v>1783</v>
      </c>
      <c r="F63" s="5" t="s">
        <v>277</v>
      </c>
      <c r="G63" s="5" t="s">
        <v>2005</v>
      </c>
    </row>
    <row r="64" customFormat="false" ht="15" hidden="false" customHeight="false" outlineLevel="0" collapsed="false">
      <c r="A64" s="5" t="s">
        <v>2006</v>
      </c>
      <c r="B64" s="5" t="s">
        <v>623</v>
      </c>
      <c r="C64" s="5" t="s">
        <v>2007</v>
      </c>
      <c r="D64" s="5" t="s">
        <v>2008</v>
      </c>
      <c r="E64" s="5" t="s">
        <v>1783</v>
      </c>
      <c r="F64" s="5" t="s">
        <v>277</v>
      </c>
      <c r="G64" s="5" t="s">
        <v>622</v>
      </c>
    </row>
    <row r="65" customFormat="false" ht="15" hidden="false" customHeight="false" outlineLevel="0" collapsed="false">
      <c r="A65" s="5" t="s">
        <v>2009</v>
      </c>
      <c r="B65" s="5" t="s">
        <v>2010</v>
      </c>
      <c r="C65" s="5" t="s">
        <v>2011</v>
      </c>
      <c r="D65" s="5" t="s">
        <v>2012</v>
      </c>
      <c r="E65" s="5" t="s">
        <v>1783</v>
      </c>
      <c r="F65" s="5" t="s">
        <v>277</v>
      </c>
      <c r="G65" s="5" t="s">
        <v>2013</v>
      </c>
    </row>
    <row r="66" customFormat="false" ht="23.85" hidden="false" customHeight="false" outlineLevel="0" collapsed="false">
      <c r="A66" s="5" t="s">
        <v>2014</v>
      </c>
      <c r="B66" s="5" t="s">
        <v>2015</v>
      </c>
      <c r="C66" s="5" t="s">
        <v>2016</v>
      </c>
      <c r="D66" s="5" t="s">
        <v>2017</v>
      </c>
      <c r="E66" s="5" t="s">
        <v>1783</v>
      </c>
      <c r="F66" s="5" t="s">
        <v>277</v>
      </c>
      <c r="G66" s="5" t="s">
        <v>694</v>
      </c>
    </row>
    <row r="67" customFormat="false" ht="23.85" hidden="false" customHeight="false" outlineLevel="0" collapsed="false">
      <c r="A67" s="5" t="s">
        <v>2018</v>
      </c>
      <c r="B67" s="5" t="s">
        <v>706</v>
      </c>
      <c r="C67" s="5" t="s">
        <v>2019</v>
      </c>
      <c r="D67" s="5" t="s">
        <v>2020</v>
      </c>
      <c r="E67" s="5" t="s">
        <v>1836</v>
      </c>
      <c r="F67" s="5" t="s">
        <v>277</v>
      </c>
      <c r="G67" s="5" t="s">
        <v>694</v>
      </c>
    </row>
    <row r="68" customFormat="false" ht="23.85" hidden="false" customHeight="false" outlineLevel="0" collapsed="false">
      <c r="A68" s="5" t="s">
        <v>2021</v>
      </c>
      <c r="B68" s="5" t="s">
        <v>721</v>
      </c>
      <c r="C68" s="5" t="s">
        <v>2022</v>
      </c>
      <c r="D68" s="5" t="s">
        <v>2023</v>
      </c>
      <c r="E68" s="5" t="s">
        <v>2024</v>
      </c>
      <c r="F68" s="5" t="s">
        <v>277</v>
      </c>
      <c r="G68" s="5" t="s">
        <v>716</v>
      </c>
    </row>
    <row r="69" customFormat="false" ht="23.85" hidden="false" customHeight="false" outlineLevel="0" collapsed="false">
      <c r="A69" s="5" t="s">
        <v>2025</v>
      </c>
      <c r="B69" s="5" t="s">
        <v>2026</v>
      </c>
      <c r="C69" s="5" t="s">
        <v>2027</v>
      </c>
      <c r="D69" s="5" t="s">
        <v>2028</v>
      </c>
      <c r="E69" s="5" t="s">
        <v>1783</v>
      </c>
      <c r="F69" s="5" t="s">
        <v>1768</v>
      </c>
      <c r="G69" s="5" t="s">
        <v>169</v>
      </c>
    </row>
    <row r="70" customFormat="false" ht="15" hidden="false" customHeight="false" outlineLevel="0" collapsed="false">
      <c r="A70" s="5" t="s">
        <v>2029</v>
      </c>
      <c r="B70" s="5" t="s">
        <v>2030</v>
      </c>
      <c r="C70" s="5" t="s">
        <v>2031</v>
      </c>
      <c r="D70" s="5" t="s">
        <v>2032</v>
      </c>
      <c r="E70" s="5" t="s">
        <v>1783</v>
      </c>
      <c r="F70" s="5" t="s">
        <v>1768</v>
      </c>
      <c r="G70" s="5" t="s">
        <v>169</v>
      </c>
    </row>
    <row r="71" customFormat="false" ht="23.85" hidden="false" customHeight="false" outlineLevel="0" collapsed="false">
      <c r="A71" s="5" t="s">
        <v>2033</v>
      </c>
      <c r="B71" s="5" t="s">
        <v>2034</v>
      </c>
      <c r="C71" s="5" t="s">
        <v>2035</v>
      </c>
      <c r="D71" s="5" t="s">
        <v>2036</v>
      </c>
      <c r="E71" s="5" t="s">
        <v>1783</v>
      </c>
      <c r="F71" s="5" t="s">
        <v>1768</v>
      </c>
      <c r="G71" s="5" t="s">
        <v>169</v>
      </c>
    </row>
    <row r="72" customFormat="false" ht="15" hidden="false" customHeight="false" outlineLevel="0" collapsed="false">
      <c r="A72" s="5" t="s">
        <v>2037</v>
      </c>
      <c r="B72" s="5" t="s">
        <v>2038</v>
      </c>
      <c r="C72" s="5" t="s">
        <v>2039</v>
      </c>
      <c r="D72" s="5" t="s">
        <v>2040</v>
      </c>
      <c r="E72" s="5" t="s">
        <v>1783</v>
      </c>
      <c r="F72" s="5" t="s">
        <v>1768</v>
      </c>
      <c r="G72" s="5" t="s">
        <v>169</v>
      </c>
    </row>
    <row r="73" customFormat="false" ht="23.85" hidden="false" customHeight="false" outlineLevel="0" collapsed="false">
      <c r="A73" s="5" t="s">
        <v>2041</v>
      </c>
      <c r="B73" s="5" t="s">
        <v>2042</v>
      </c>
      <c r="C73" s="5" t="s">
        <v>2043</v>
      </c>
      <c r="D73" s="5" t="s">
        <v>2044</v>
      </c>
      <c r="E73" s="5" t="s">
        <v>1783</v>
      </c>
      <c r="F73" s="5" t="s">
        <v>1768</v>
      </c>
      <c r="G73" s="5" t="s">
        <v>694</v>
      </c>
    </row>
    <row r="74" customFormat="false" ht="23.85" hidden="false" customHeight="false" outlineLevel="0" collapsed="false">
      <c r="A74" s="5" t="s">
        <v>2045</v>
      </c>
      <c r="B74" s="5" t="s">
        <v>2046</v>
      </c>
      <c r="C74" s="5" t="s">
        <v>2047</v>
      </c>
      <c r="D74" s="5" t="s">
        <v>2048</v>
      </c>
      <c r="E74" s="5" t="s">
        <v>1783</v>
      </c>
      <c r="F74" s="5" t="s">
        <v>1768</v>
      </c>
      <c r="G74" s="5" t="s">
        <v>169</v>
      </c>
    </row>
    <row r="75" customFormat="false" ht="23.85" hidden="false" customHeight="false" outlineLevel="0" collapsed="false">
      <c r="A75" s="5" t="s">
        <v>2049</v>
      </c>
      <c r="B75" s="5" t="s">
        <v>2050</v>
      </c>
      <c r="C75" s="5" t="s">
        <v>2051</v>
      </c>
      <c r="D75" s="5" t="s">
        <v>2052</v>
      </c>
      <c r="E75" s="5" t="s">
        <v>1783</v>
      </c>
      <c r="F75" s="5" t="s">
        <v>1768</v>
      </c>
      <c r="G75" s="5" t="s">
        <v>169</v>
      </c>
    </row>
    <row r="76" customFormat="false" ht="15" hidden="false" customHeight="false" outlineLevel="0" collapsed="false">
      <c r="A76" s="5" t="s">
        <v>2053</v>
      </c>
      <c r="B76" s="5" t="s">
        <v>2054</v>
      </c>
      <c r="C76" s="5" t="s">
        <v>2055</v>
      </c>
      <c r="D76" s="5" t="s">
        <v>2056</v>
      </c>
      <c r="E76" s="5" t="s">
        <v>1783</v>
      </c>
      <c r="F76" s="5" t="s">
        <v>1768</v>
      </c>
      <c r="G76" s="5" t="s">
        <v>169</v>
      </c>
    </row>
    <row r="77" customFormat="false" ht="35.05" hidden="false" customHeight="false" outlineLevel="0" collapsed="false">
      <c r="A77" s="5" t="s">
        <v>2057</v>
      </c>
      <c r="B77" s="5" t="s">
        <v>2058</v>
      </c>
      <c r="C77" s="5" t="s">
        <v>2059</v>
      </c>
      <c r="D77" s="5" t="s">
        <v>2060</v>
      </c>
      <c r="E77" s="5" t="s">
        <v>1783</v>
      </c>
      <c r="F77" s="5" t="s">
        <v>1768</v>
      </c>
      <c r="G77" s="5" t="s">
        <v>169</v>
      </c>
    </row>
    <row r="78" customFormat="false" ht="23.85" hidden="false" customHeight="false" outlineLevel="0" collapsed="false">
      <c r="A78" s="5" t="s">
        <v>2061</v>
      </c>
      <c r="B78" s="5" t="s">
        <v>2058</v>
      </c>
      <c r="C78" s="5" t="s">
        <v>2062</v>
      </c>
      <c r="D78" s="5" t="s">
        <v>2063</v>
      </c>
      <c r="E78" s="5" t="s">
        <v>1783</v>
      </c>
      <c r="F78" s="5" t="s">
        <v>1768</v>
      </c>
      <c r="G78" s="5" t="s">
        <v>169</v>
      </c>
    </row>
    <row r="79" customFormat="false" ht="23.85" hidden="false" customHeight="false" outlineLevel="0" collapsed="false">
      <c r="A79" s="5" t="s">
        <v>2064</v>
      </c>
      <c r="B79" s="5" t="s">
        <v>2065</v>
      </c>
      <c r="C79" s="5" t="s">
        <v>2066</v>
      </c>
      <c r="D79" s="5" t="s">
        <v>2067</v>
      </c>
      <c r="E79" s="5" t="s">
        <v>1836</v>
      </c>
      <c r="F79" s="5" t="s">
        <v>1768</v>
      </c>
      <c r="G79" s="5" t="s">
        <v>169</v>
      </c>
    </row>
    <row r="80" customFormat="false" ht="15" hidden="false" customHeight="false" outlineLevel="0" collapsed="false">
      <c r="A80" s="5" t="s">
        <v>2068</v>
      </c>
      <c r="B80" s="5" t="s">
        <v>2069</v>
      </c>
      <c r="C80" s="5" t="s">
        <v>2070</v>
      </c>
      <c r="D80" s="5" t="s">
        <v>2067</v>
      </c>
      <c r="E80" s="5" t="s">
        <v>1836</v>
      </c>
      <c r="F80" s="5" t="s">
        <v>1768</v>
      </c>
      <c r="G80" s="5" t="s">
        <v>169</v>
      </c>
    </row>
    <row r="81" customFormat="false" ht="35.05" hidden="false" customHeight="false" outlineLevel="0" collapsed="false">
      <c r="A81" s="5" t="s">
        <v>2071</v>
      </c>
      <c r="B81" s="5" t="s">
        <v>2072</v>
      </c>
      <c r="C81" s="5" t="s">
        <v>2073</v>
      </c>
      <c r="D81" s="5" t="s">
        <v>2074</v>
      </c>
      <c r="E81" s="5" t="s">
        <v>1783</v>
      </c>
      <c r="F81" s="5" t="s">
        <v>1768</v>
      </c>
      <c r="G81" s="5" t="s">
        <v>2075</v>
      </c>
    </row>
    <row r="82" customFormat="false" ht="57.45" hidden="false" customHeight="false" outlineLevel="0" collapsed="false">
      <c r="A82" s="5" t="s">
        <v>2076</v>
      </c>
      <c r="B82" s="5" t="s">
        <v>2077</v>
      </c>
      <c r="C82" s="5" t="s">
        <v>2078</v>
      </c>
      <c r="D82" s="5" t="s">
        <v>2079</v>
      </c>
      <c r="E82" s="5" t="s">
        <v>2080</v>
      </c>
      <c r="F82" s="5" t="s">
        <v>1768</v>
      </c>
      <c r="G82" s="5" t="s">
        <v>169</v>
      </c>
    </row>
    <row r="83" customFormat="false" ht="46.25" hidden="false" customHeight="false" outlineLevel="0" collapsed="false">
      <c r="A83" s="5" t="s">
        <v>2081</v>
      </c>
      <c r="B83" s="5" t="s">
        <v>2082</v>
      </c>
      <c r="C83" s="5" t="s">
        <v>2083</v>
      </c>
      <c r="D83" s="5" t="s">
        <v>2084</v>
      </c>
      <c r="E83" s="5" t="s">
        <v>2080</v>
      </c>
      <c r="F83" s="5" t="s">
        <v>1768</v>
      </c>
      <c r="G83" s="5" t="s">
        <v>169</v>
      </c>
    </row>
    <row r="84" customFormat="false" ht="35.05" hidden="false" customHeight="false" outlineLevel="0" collapsed="false">
      <c r="A84" s="5" t="s">
        <v>2085</v>
      </c>
      <c r="B84" s="5" t="s">
        <v>2086</v>
      </c>
      <c r="C84" s="5" t="s">
        <v>2087</v>
      </c>
      <c r="D84" s="5" t="s">
        <v>2088</v>
      </c>
      <c r="E84" s="5" t="s">
        <v>1836</v>
      </c>
      <c r="F84" s="5" t="s">
        <v>1768</v>
      </c>
      <c r="G84" s="5" t="s">
        <v>169</v>
      </c>
    </row>
    <row r="85" customFormat="false" ht="35.05" hidden="false" customHeight="false" outlineLevel="0" collapsed="false">
      <c r="A85" s="5" t="s">
        <v>2089</v>
      </c>
      <c r="B85" s="5" t="s">
        <v>2090</v>
      </c>
      <c r="C85" s="5" t="s">
        <v>2091</v>
      </c>
      <c r="D85" s="5" t="s">
        <v>2092</v>
      </c>
      <c r="E85" s="5" t="s">
        <v>1783</v>
      </c>
      <c r="F85" s="5" t="s">
        <v>1768</v>
      </c>
      <c r="G85" s="5" t="s">
        <v>169</v>
      </c>
    </row>
  </sheetData>
  <autoFilter ref="A1:G8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4" min="3" style="0" width="18"/>
    <col collapsed="false" customWidth="true" hidden="false" outlineLevel="0" max="5" min="5" style="0" width="70"/>
    <col collapsed="false" customWidth="true" hidden="false" outlineLevel="0" max="6" min="6" style="0" width="30"/>
    <col collapsed="false" customWidth="true" hidden="false" outlineLevel="0" max="7" min="7" style="0" width="12"/>
    <col collapsed="false" customWidth="true" hidden="false" outlineLevel="0" max="8" min="8" style="0" width="11"/>
  </cols>
  <sheetData>
    <row r="1" customFormat="false" ht="30" hidden="false" customHeight="true" outlineLevel="0" collapsed="false">
      <c r="A1" s="4" t="s">
        <v>2093</v>
      </c>
      <c r="B1" s="4" t="s">
        <v>2094</v>
      </c>
      <c r="C1" s="4" t="s">
        <v>2095</v>
      </c>
      <c r="D1" s="4" t="s">
        <v>2096</v>
      </c>
      <c r="E1" s="4" t="s">
        <v>2097</v>
      </c>
      <c r="F1" s="4" t="s">
        <v>2098</v>
      </c>
      <c r="G1" s="4" t="s">
        <v>2099</v>
      </c>
      <c r="H1" s="4" t="s">
        <v>1</v>
      </c>
    </row>
    <row r="2" customFormat="false" ht="15" hidden="false" customHeight="false" outlineLevel="0" collapsed="false">
      <c r="A2" s="5" t="s">
        <v>637</v>
      </c>
      <c r="B2" s="5" t="s">
        <v>2100</v>
      </c>
      <c r="C2" s="5" t="s">
        <v>2101</v>
      </c>
      <c r="D2" s="5" t="s">
        <v>2102</v>
      </c>
      <c r="E2" s="5" t="s">
        <v>2103</v>
      </c>
      <c r="F2" s="5" t="s">
        <v>2104</v>
      </c>
      <c r="G2" s="5" t="s">
        <v>2105</v>
      </c>
      <c r="H2" s="5" t="s">
        <v>228</v>
      </c>
    </row>
    <row r="3" customFormat="false" ht="15" hidden="false" customHeight="false" outlineLevel="0" collapsed="false">
      <c r="A3" s="5" t="s">
        <v>2101</v>
      </c>
      <c r="B3" s="5" t="s">
        <v>2106</v>
      </c>
      <c r="C3" s="5" t="s">
        <v>2101</v>
      </c>
      <c r="D3" s="5" t="s">
        <v>2102</v>
      </c>
      <c r="E3" s="5" t="s">
        <v>2107</v>
      </c>
      <c r="F3" s="5" t="s">
        <v>2108</v>
      </c>
      <c r="G3" s="5" t="s">
        <v>2109</v>
      </c>
      <c r="H3" s="5" t="s">
        <v>238</v>
      </c>
    </row>
    <row r="4" customFormat="false" ht="23.85" hidden="false" customHeight="false" outlineLevel="0" collapsed="false">
      <c r="A4" s="5" t="s">
        <v>2101</v>
      </c>
      <c r="B4" s="5" t="s">
        <v>2110</v>
      </c>
      <c r="C4" s="5" t="s">
        <v>2101</v>
      </c>
      <c r="D4" s="5" t="s">
        <v>2102</v>
      </c>
      <c r="E4" s="5" t="s">
        <v>2111</v>
      </c>
      <c r="F4" s="5" t="s">
        <v>2112</v>
      </c>
      <c r="G4" s="5" t="s">
        <v>2113</v>
      </c>
      <c r="H4" s="5" t="s">
        <v>238</v>
      </c>
    </row>
    <row r="5" customFormat="false" ht="35.05" hidden="false" customHeight="false" outlineLevel="0" collapsed="false">
      <c r="A5" s="5" t="s">
        <v>2101</v>
      </c>
      <c r="B5" s="5" t="s">
        <v>2114</v>
      </c>
      <c r="C5" s="5" t="s">
        <v>2115</v>
      </c>
      <c r="D5" s="5" t="s">
        <v>2102</v>
      </c>
      <c r="E5" s="5" t="s">
        <v>2116</v>
      </c>
      <c r="F5" s="5" t="s">
        <v>2117</v>
      </c>
      <c r="G5" s="5" t="s">
        <v>2118</v>
      </c>
      <c r="H5" s="5" t="s">
        <v>238</v>
      </c>
    </row>
    <row r="6" customFormat="false" ht="23.85" hidden="false" customHeight="false" outlineLevel="0" collapsed="false">
      <c r="A6" s="5" t="s">
        <v>2115</v>
      </c>
      <c r="B6" s="5" t="s">
        <v>2119</v>
      </c>
      <c r="C6" s="5" t="s">
        <v>2115</v>
      </c>
      <c r="D6" s="5" t="s">
        <v>2120</v>
      </c>
      <c r="E6" s="5" t="s">
        <v>2121</v>
      </c>
      <c r="F6" s="5" t="s">
        <v>2122</v>
      </c>
      <c r="G6" s="5" t="s">
        <v>169</v>
      </c>
      <c r="H6" s="5" t="s">
        <v>277</v>
      </c>
    </row>
    <row r="7" customFormat="false" ht="35.05" hidden="false" customHeight="false" outlineLevel="0" collapsed="false">
      <c r="A7" s="5" t="s">
        <v>2115</v>
      </c>
      <c r="B7" s="5" t="s">
        <v>2123</v>
      </c>
      <c r="C7" s="5" t="s">
        <v>2115</v>
      </c>
      <c r="D7" s="5" t="s">
        <v>2120</v>
      </c>
      <c r="E7" s="5" t="s">
        <v>2124</v>
      </c>
      <c r="F7" s="5" t="s">
        <v>689</v>
      </c>
      <c r="G7" s="5" t="s">
        <v>169</v>
      </c>
      <c r="H7" s="5" t="s">
        <v>277</v>
      </c>
    </row>
    <row r="8" customFormat="false" ht="23.85" hidden="false" customHeight="false" outlineLevel="0" collapsed="false">
      <c r="A8" s="5" t="s">
        <v>2115</v>
      </c>
      <c r="B8" s="5" t="s">
        <v>2125</v>
      </c>
      <c r="C8" s="5" t="s">
        <v>2115</v>
      </c>
      <c r="D8" s="5" t="s">
        <v>2120</v>
      </c>
      <c r="E8" s="5" t="s">
        <v>2126</v>
      </c>
      <c r="F8" s="5" t="s">
        <v>689</v>
      </c>
      <c r="G8" s="5" t="s">
        <v>169</v>
      </c>
      <c r="H8" s="5" t="s">
        <v>238</v>
      </c>
    </row>
    <row r="9" customFormat="false" ht="35.05" hidden="false" customHeight="false" outlineLevel="0" collapsed="false">
      <c r="A9" s="5" t="s">
        <v>2115</v>
      </c>
      <c r="B9" s="5" t="s">
        <v>695</v>
      </c>
      <c r="C9" s="5" t="s">
        <v>2127</v>
      </c>
      <c r="D9" s="5" t="s">
        <v>2120</v>
      </c>
      <c r="E9" s="5" t="s">
        <v>2128</v>
      </c>
      <c r="F9" s="5" t="s">
        <v>2129</v>
      </c>
      <c r="G9" s="5" t="s">
        <v>2118</v>
      </c>
      <c r="H9" s="5" t="s">
        <v>238</v>
      </c>
    </row>
    <row r="10" customFormat="false" ht="15" hidden="false" customHeight="false" outlineLevel="0" collapsed="false">
      <c r="A10" s="5" t="s">
        <v>2115</v>
      </c>
      <c r="B10" s="5" t="s">
        <v>727</v>
      </c>
      <c r="C10" s="5" t="s">
        <v>2130</v>
      </c>
      <c r="D10" s="5" t="s">
        <v>2120</v>
      </c>
      <c r="E10" s="5" t="s">
        <v>2131</v>
      </c>
      <c r="F10" s="5" t="s">
        <v>2132</v>
      </c>
      <c r="G10" s="5" t="s">
        <v>2118</v>
      </c>
      <c r="H10" s="5" t="s">
        <v>228</v>
      </c>
    </row>
    <row r="11" customFormat="false" ht="15" hidden="false" customHeight="false" outlineLevel="0" collapsed="false">
      <c r="A11" s="5" t="s">
        <v>2115</v>
      </c>
      <c r="B11" s="5" t="s">
        <v>2133</v>
      </c>
      <c r="C11" s="5" t="s">
        <v>2115</v>
      </c>
      <c r="D11" s="5" t="s">
        <v>2102</v>
      </c>
      <c r="E11" s="5" t="s">
        <v>2134</v>
      </c>
      <c r="F11" s="5" t="s">
        <v>2135</v>
      </c>
      <c r="G11" s="5" t="s">
        <v>2105</v>
      </c>
      <c r="H11" s="5" t="s">
        <v>228</v>
      </c>
    </row>
    <row r="12" customFormat="false" ht="15" hidden="false" customHeight="false" outlineLevel="0" collapsed="false">
      <c r="A12" s="5" t="s">
        <v>2130</v>
      </c>
      <c r="B12" s="5" t="s">
        <v>2136</v>
      </c>
      <c r="C12" s="5" t="s">
        <v>2130</v>
      </c>
      <c r="D12" s="5" t="s">
        <v>2102</v>
      </c>
      <c r="E12" s="5" t="s">
        <v>2137</v>
      </c>
      <c r="F12" s="5" t="s">
        <v>2135</v>
      </c>
      <c r="G12" s="5" t="s">
        <v>2105</v>
      </c>
      <c r="H12" s="5" t="s">
        <v>228</v>
      </c>
    </row>
    <row r="13" customFormat="false" ht="15" hidden="false" customHeight="false" outlineLevel="0" collapsed="false">
      <c r="A13" s="5" t="s">
        <v>2130</v>
      </c>
      <c r="B13" s="5" t="s">
        <v>2114</v>
      </c>
      <c r="C13" s="5" t="s">
        <v>2115</v>
      </c>
      <c r="D13" s="5" t="s">
        <v>2102</v>
      </c>
      <c r="E13" s="5" t="s">
        <v>2138</v>
      </c>
      <c r="F13" s="5" t="s">
        <v>2117</v>
      </c>
      <c r="G13" s="5" t="s">
        <v>2118</v>
      </c>
      <c r="H13" s="5" t="s">
        <v>228</v>
      </c>
    </row>
    <row r="14" customFormat="false" ht="23.85" hidden="false" customHeight="false" outlineLevel="0" collapsed="false">
      <c r="A14" s="5" t="s">
        <v>2127</v>
      </c>
      <c r="B14" s="5" t="s">
        <v>2139</v>
      </c>
      <c r="C14" s="5" t="s">
        <v>2127</v>
      </c>
      <c r="D14" s="5" t="s">
        <v>2120</v>
      </c>
      <c r="E14" s="5" t="s">
        <v>2140</v>
      </c>
      <c r="F14" s="5" t="s">
        <v>2141</v>
      </c>
      <c r="G14" s="5" t="s">
        <v>2142</v>
      </c>
      <c r="H14" s="5" t="s">
        <v>277</v>
      </c>
    </row>
    <row r="15" customFormat="false" ht="15" hidden="false" customHeight="false" outlineLevel="0" collapsed="false">
      <c r="A15" s="5" t="s">
        <v>2127</v>
      </c>
      <c r="B15" s="5" t="s">
        <v>2143</v>
      </c>
      <c r="C15" s="5" t="s">
        <v>2144</v>
      </c>
      <c r="D15" s="5" t="s">
        <v>2145</v>
      </c>
      <c r="E15" s="5" t="s">
        <v>2146</v>
      </c>
      <c r="F15" s="5" t="s">
        <v>169</v>
      </c>
      <c r="G15" s="5" t="s">
        <v>169</v>
      </c>
      <c r="H15" s="5" t="s">
        <v>228</v>
      </c>
    </row>
    <row r="16" customFormat="false" ht="23.85" hidden="false" customHeight="false" outlineLevel="0" collapsed="false">
      <c r="A16" s="5" t="s">
        <v>2147</v>
      </c>
      <c r="B16" s="5" t="s">
        <v>2148</v>
      </c>
      <c r="C16" s="5" t="s">
        <v>2144</v>
      </c>
      <c r="D16" s="5" t="s">
        <v>1505</v>
      </c>
      <c r="E16" s="5" t="s">
        <v>2149</v>
      </c>
      <c r="F16" s="5" t="s">
        <v>2150</v>
      </c>
      <c r="G16" s="5" t="s">
        <v>2151</v>
      </c>
      <c r="H16" s="5" t="s">
        <v>228</v>
      </c>
    </row>
    <row r="17" customFormat="false" ht="15" hidden="false" customHeight="false" outlineLevel="0" collapsed="false">
      <c r="A17" s="5" t="s">
        <v>2152</v>
      </c>
      <c r="B17" s="5" t="s">
        <v>2153</v>
      </c>
      <c r="C17" s="5" t="s">
        <v>2152</v>
      </c>
      <c r="D17" s="5" t="s">
        <v>2102</v>
      </c>
      <c r="E17" s="5" t="s">
        <v>2154</v>
      </c>
      <c r="F17" s="5" t="s">
        <v>2155</v>
      </c>
      <c r="G17" s="5" t="s">
        <v>2156</v>
      </c>
      <c r="H17" s="5" t="s">
        <v>277</v>
      </c>
    </row>
    <row r="18" customFormat="false" ht="15" hidden="false" customHeight="false" outlineLevel="0" collapsed="false">
      <c r="A18" s="5" t="s">
        <v>2147</v>
      </c>
      <c r="B18" s="5" t="s">
        <v>2157</v>
      </c>
      <c r="C18" s="5" t="s">
        <v>2144</v>
      </c>
      <c r="D18" s="5" t="s">
        <v>2158</v>
      </c>
      <c r="E18" s="5" t="s">
        <v>2159</v>
      </c>
      <c r="F18" s="5" t="s">
        <v>2160</v>
      </c>
      <c r="G18" s="5" t="s">
        <v>169</v>
      </c>
      <c r="H18" s="5" t="s">
        <v>238</v>
      </c>
    </row>
    <row r="19" customFormat="false" ht="35.05" hidden="false" customHeight="false" outlineLevel="0" collapsed="false">
      <c r="A19" s="5" t="s">
        <v>2161</v>
      </c>
      <c r="B19" s="5" t="s">
        <v>2162</v>
      </c>
      <c r="C19" s="5" t="s">
        <v>2144</v>
      </c>
      <c r="D19" s="5" t="s">
        <v>2163</v>
      </c>
      <c r="E19" s="5" t="s">
        <v>2164</v>
      </c>
      <c r="F19" s="5" t="s">
        <v>1556</v>
      </c>
      <c r="G19" s="5" t="s">
        <v>169</v>
      </c>
      <c r="H19" s="5" t="s">
        <v>277</v>
      </c>
    </row>
    <row r="20" customFormat="false" ht="15" hidden="false" customHeight="false" outlineLevel="0" collapsed="false">
      <c r="A20" s="5" t="s">
        <v>2165</v>
      </c>
      <c r="B20" s="5" t="s">
        <v>2166</v>
      </c>
      <c r="C20" s="5" t="s">
        <v>169</v>
      </c>
      <c r="D20" s="5" t="s">
        <v>2120</v>
      </c>
      <c r="E20" s="5" t="s">
        <v>2167</v>
      </c>
      <c r="F20" s="5" t="s">
        <v>169</v>
      </c>
      <c r="G20" s="5" t="s">
        <v>169</v>
      </c>
      <c r="H20" s="5" t="s">
        <v>277</v>
      </c>
    </row>
    <row r="21" customFormat="false" ht="23.85" hidden="false" customHeight="false" outlineLevel="0" collapsed="false">
      <c r="A21" s="5" t="s">
        <v>2165</v>
      </c>
      <c r="B21" s="5" t="s">
        <v>2168</v>
      </c>
      <c r="C21" s="5" t="s">
        <v>169</v>
      </c>
      <c r="D21" s="5" t="s">
        <v>2120</v>
      </c>
      <c r="E21" s="5" t="s">
        <v>2169</v>
      </c>
      <c r="F21" s="5" t="s">
        <v>169</v>
      </c>
      <c r="G21" s="5" t="s">
        <v>169</v>
      </c>
      <c r="H21" s="5" t="s">
        <v>277</v>
      </c>
    </row>
    <row r="22" customFormat="false" ht="15" hidden="false" customHeight="false" outlineLevel="0" collapsed="false">
      <c r="A22" s="5" t="s">
        <v>2165</v>
      </c>
      <c r="B22" s="5" t="s">
        <v>2170</v>
      </c>
      <c r="C22" s="5" t="s">
        <v>169</v>
      </c>
      <c r="D22" s="5" t="s">
        <v>2120</v>
      </c>
      <c r="E22" s="5" t="s">
        <v>2171</v>
      </c>
      <c r="F22" s="5" t="s">
        <v>169</v>
      </c>
      <c r="G22" s="5" t="s">
        <v>169</v>
      </c>
      <c r="H22" s="5" t="s">
        <v>277</v>
      </c>
    </row>
    <row r="23" customFormat="false" ht="15" hidden="false" customHeight="false" outlineLevel="0" collapsed="false">
      <c r="A23" s="5" t="s">
        <v>2165</v>
      </c>
      <c r="B23" s="5" t="s">
        <v>2172</v>
      </c>
      <c r="C23" s="5" t="s">
        <v>169</v>
      </c>
      <c r="D23" s="5" t="s">
        <v>2102</v>
      </c>
      <c r="E23" s="5" t="s">
        <v>2173</v>
      </c>
      <c r="F23" s="5" t="s">
        <v>169</v>
      </c>
      <c r="G23" s="5" t="s">
        <v>169</v>
      </c>
      <c r="H23" s="5" t="s">
        <v>277</v>
      </c>
    </row>
    <row r="24" customFormat="false" ht="15" hidden="false" customHeight="false" outlineLevel="0" collapsed="false">
      <c r="A24" s="5" t="s">
        <v>637</v>
      </c>
      <c r="B24" s="5" t="s">
        <v>2174</v>
      </c>
      <c r="C24" s="5" t="s">
        <v>169</v>
      </c>
      <c r="D24" s="5" t="s">
        <v>2175</v>
      </c>
      <c r="E24" s="5" t="s">
        <v>2176</v>
      </c>
      <c r="F24" s="5" t="s">
        <v>2177</v>
      </c>
      <c r="G24" s="5" t="s">
        <v>169</v>
      </c>
      <c r="H24" s="5" t="s">
        <v>1768</v>
      </c>
    </row>
    <row r="25" customFormat="false" ht="35.05" hidden="false" customHeight="false" outlineLevel="0" collapsed="false">
      <c r="A25" s="5" t="s">
        <v>2178</v>
      </c>
      <c r="B25" s="5" t="s">
        <v>2179</v>
      </c>
      <c r="C25" s="5" t="s">
        <v>2180</v>
      </c>
      <c r="D25" s="5" t="s">
        <v>2102</v>
      </c>
      <c r="E25" s="5" t="s">
        <v>2181</v>
      </c>
      <c r="F25" s="5" t="s">
        <v>2182</v>
      </c>
      <c r="G25" s="5" t="s">
        <v>2183</v>
      </c>
      <c r="H25" s="5" t="s">
        <v>1768</v>
      </c>
    </row>
    <row r="26" customFormat="false" ht="23.85" hidden="false" customHeight="false" outlineLevel="0" collapsed="false">
      <c r="A26" s="5" t="s">
        <v>2180</v>
      </c>
      <c r="B26" s="5" t="s">
        <v>2184</v>
      </c>
      <c r="C26" s="5" t="s">
        <v>2101</v>
      </c>
      <c r="D26" s="5" t="s">
        <v>2102</v>
      </c>
      <c r="E26" s="5" t="s">
        <v>2185</v>
      </c>
      <c r="F26" s="5" t="s">
        <v>2104</v>
      </c>
      <c r="G26" s="5" t="s">
        <v>2186</v>
      </c>
      <c r="H26" s="5" t="s">
        <v>1768</v>
      </c>
    </row>
    <row r="27" customFormat="false" ht="35.05" hidden="false" customHeight="false" outlineLevel="0" collapsed="false">
      <c r="A27" s="5" t="s">
        <v>2152</v>
      </c>
      <c r="B27" s="5" t="s">
        <v>2187</v>
      </c>
      <c r="C27" s="5" t="s">
        <v>2152</v>
      </c>
      <c r="D27" s="5" t="s">
        <v>2102</v>
      </c>
      <c r="E27" s="5" t="s">
        <v>2188</v>
      </c>
      <c r="F27" s="5" t="s">
        <v>2189</v>
      </c>
      <c r="G27" s="5" t="s">
        <v>2190</v>
      </c>
      <c r="H27" s="5" t="s">
        <v>1768</v>
      </c>
    </row>
    <row r="28" customFormat="false" ht="23.85" hidden="false" customHeight="false" outlineLevel="0" collapsed="false">
      <c r="A28" s="5" t="s">
        <v>2180</v>
      </c>
      <c r="B28" s="5" t="s">
        <v>2191</v>
      </c>
      <c r="C28" s="5" t="s">
        <v>2192</v>
      </c>
      <c r="D28" s="5" t="s">
        <v>2193</v>
      </c>
      <c r="E28" s="5" t="s">
        <v>2194</v>
      </c>
      <c r="F28" s="5" t="s">
        <v>2195</v>
      </c>
      <c r="G28" s="5" t="s">
        <v>2196</v>
      </c>
      <c r="H28" s="5" t="s">
        <v>1768</v>
      </c>
    </row>
    <row r="29" customFormat="false" ht="15" hidden="false" customHeight="false" outlineLevel="0" collapsed="false">
      <c r="A29" s="5" t="s">
        <v>2147</v>
      </c>
      <c r="B29" s="5" t="s">
        <v>2197</v>
      </c>
      <c r="C29" s="5" t="s">
        <v>169</v>
      </c>
      <c r="D29" s="5" t="s">
        <v>2198</v>
      </c>
      <c r="E29" s="5" t="s">
        <v>2199</v>
      </c>
      <c r="F29" s="5" t="s">
        <v>2200</v>
      </c>
      <c r="G29" s="5" t="s">
        <v>169</v>
      </c>
      <c r="H29" s="5" t="s">
        <v>1768</v>
      </c>
    </row>
    <row r="30" customFormat="false" ht="15" hidden="false" customHeight="false" outlineLevel="0" collapsed="false">
      <c r="A30" s="5" t="s">
        <v>2115</v>
      </c>
      <c r="B30" s="5" t="s">
        <v>2201</v>
      </c>
      <c r="C30" s="5" t="s">
        <v>2115</v>
      </c>
      <c r="D30" s="5" t="s">
        <v>1505</v>
      </c>
      <c r="E30" s="5" t="s">
        <v>2202</v>
      </c>
      <c r="F30" s="5" t="s">
        <v>169</v>
      </c>
      <c r="G30" s="5" t="s">
        <v>169</v>
      </c>
      <c r="H30" s="5" t="s">
        <v>1768</v>
      </c>
    </row>
    <row r="31" customFormat="false" ht="23.85" hidden="false" customHeight="false" outlineLevel="0" collapsed="false">
      <c r="A31" s="5" t="s">
        <v>2147</v>
      </c>
      <c r="B31" s="5" t="s">
        <v>2203</v>
      </c>
      <c r="C31" s="5" t="s">
        <v>169</v>
      </c>
      <c r="D31" s="5" t="s">
        <v>1505</v>
      </c>
      <c r="E31" s="5" t="s">
        <v>2204</v>
      </c>
      <c r="F31" s="5" t="s">
        <v>2205</v>
      </c>
      <c r="G31" s="5" t="s">
        <v>2206</v>
      </c>
      <c r="H31" s="5" t="s">
        <v>1768</v>
      </c>
    </row>
    <row r="32" customFormat="false" ht="15" hidden="false" customHeight="false" outlineLevel="0" collapsed="false">
      <c r="A32" s="5" t="s">
        <v>2147</v>
      </c>
      <c r="B32" s="5" t="s">
        <v>2207</v>
      </c>
      <c r="C32" s="5" t="s">
        <v>169</v>
      </c>
      <c r="D32" s="5" t="s">
        <v>1505</v>
      </c>
      <c r="E32" s="5" t="s">
        <v>2208</v>
      </c>
      <c r="F32" s="5" t="s">
        <v>2209</v>
      </c>
      <c r="G32" s="5" t="s">
        <v>2210</v>
      </c>
      <c r="H32" s="5" t="s">
        <v>1768</v>
      </c>
    </row>
    <row r="33" customFormat="false" ht="23.85" hidden="false" customHeight="false" outlineLevel="0" collapsed="false">
      <c r="A33" s="5" t="s">
        <v>2147</v>
      </c>
      <c r="B33" s="5" t="s">
        <v>2211</v>
      </c>
      <c r="C33" s="5" t="s">
        <v>169</v>
      </c>
      <c r="D33" s="5" t="s">
        <v>1505</v>
      </c>
      <c r="E33" s="5" t="s">
        <v>2212</v>
      </c>
      <c r="F33" s="5" t="s">
        <v>2213</v>
      </c>
      <c r="G33" s="5" t="s">
        <v>2214</v>
      </c>
      <c r="H33" s="5" t="s">
        <v>1768</v>
      </c>
    </row>
    <row r="34" customFormat="false" ht="23.85" hidden="false" customHeight="false" outlineLevel="0" collapsed="false">
      <c r="A34" s="5" t="s">
        <v>2147</v>
      </c>
      <c r="B34" s="5" t="s">
        <v>2148</v>
      </c>
      <c r="C34" s="5" t="s">
        <v>169</v>
      </c>
      <c r="D34" s="5" t="s">
        <v>1505</v>
      </c>
      <c r="E34" s="5" t="s">
        <v>2215</v>
      </c>
      <c r="F34" s="5" t="s">
        <v>2150</v>
      </c>
      <c r="G34" s="5" t="s">
        <v>2216</v>
      </c>
      <c r="H34" s="5" t="s">
        <v>212</v>
      </c>
    </row>
    <row r="35" customFormat="false" ht="23.85" hidden="false" customHeight="false" outlineLevel="0" collapsed="false">
      <c r="A35" s="5" t="s">
        <v>2217</v>
      </c>
      <c r="B35" s="5" t="s">
        <v>2218</v>
      </c>
      <c r="C35" s="5" t="s">
        <v>169</v>
      </c>
      <c r="D35" s="5" t="s">
        <v>1505</v>
      </c>
      <c r="E35" s="5" t="s">
        <v>2219</v>
      </c>
      <c r="F35" s="5" t="s">
        <v>2220</v>
      </c>
      <c r="G35" s="5" t="s">
        <v>2206</v>
      </c>
      <c r="H35" s="5" t="s">
        <v>1768</v>
      </c>
    </row>
  </sheetData>
  <autoFilter ref="A1:H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3" min="3" style="0" width="24"/>
    <col collapsed="false" customWidth="true" hidden="false" outlineLevel="0" max="6" min="4" style="0" width="22"/>
    <col collapsed="false" customWidth="true" hidden="false" outlineLevel="0" max="7" min="7" style="0" width="40"/>
    <col collapsed="false" customWidth="true" hidden="false" outlineLevel="0" max="8" min="8" style="0" width="36"/>
  </cols>
  <sheetData>
    <row r="1" customFormat="false" ht="30" hidden="false" customHeight="true" outlineLevel="0" collapsed="false">
      <c r="A1" s="4" t="s">
        <v>2221</v>
      </c>
      <c r="B1" s="4" t="s">
        <v>50</v>
      </c>
      <c r="C1" s="4" t="s">
        <v>1505</v>
      </c>
      <c r="D1" s="4" t="s">
        <v>2222</v>
      </c>
      <c r="E1" s="4" t="s">
        <v>2223</v>
      </c>
      <c r="F1" s="4" t="s">
        <v>2224</v>
      </c>
      <c r="G1" s="4" t="s">
        <v>2225</v>
      </c>
      <c r="H1" s="4" t="s">
        <v>199</v>
      </c>
    </row>
    <row r="2" customFormat="false" ht="15" hidden="false" customHeight="false" outlineLevel="0" collapsed="false">
      <c r="A2" s="5" t="s">
        <v>2226</v>
      </c>
      <c r="B2" s="5" t="s">
        <v>2174</v>
      </c>
      <c r="C2" s="5" t="s">
        <v>210</v>
      </c>
      <c r="D2" s="5" t="s">
        <v>210</v>
      </c>
      <c r="E2" s="5" t="s">
        <v>210</v>
      </c>
      <c r="F2" s="5" t="s">
        <v>2227</v>
      </c>
      <c r="G2" s="5" t="s">
        <v>2228</v>
      </c>
      <c r="H2" s="5"/>
    </row>
    <row r="3" customFormat="false" ht="15" hidden="false" customHeight="false" outlineLevel="0" collapsed="false">
      <c r="A3" s="5" t="s">
        <v>2229</v>
      </c>
      <c r="B3" s="5" t="s">
        <v>2230</v>
      </c>
      <c r="C3" s="5" t="s">
        <v>210</v>
      </c>
      <c r="D3" s="5" t="s">
        <v>210</v>
      </c>
      <c r="E3" s="5" t="s">
        <v>210</v>
      </c>
      <c r="F3" s="5" t="s">
        <v>207</v>
      </c>
      <c r="G3" s="5" t="s">
        <v>2231</v>
      </c>
      <c r="H3" s="5" t="s">
        <v>2232</v>
      </c>
    </row>
    <row r="4" customFormat="false" ht="15" hidden="false" customHeight="false" outlineLevel="0" collapsed="false">
      <c r="A4" s="5" t="s">
        <v>2233</v>
      </c>
      <c r="B4" s="5" t="s">
        <v>2230</v>
      </c>
      <c r="C4" s="5" t="s">
        <v>2234</v>
      </c>
      <c r="D4" s="5" t="s">
        <v>2234</v>
      </c>
      <c r="E4" s="5" t="s">
        <v>2235</v>
      </c>
      <c r="F4" s="5" t="s">
        <v>207</v>
      </c>
      <c r="G4" s="5" t="s">
        <v>2236</v>
      </c>
      <c r="H4" s="5"/>
    </row>
    <row r="5" customFormat="false" ht="15" hidden="false" customHeight="false" outlineLevel="0" collapsed="false">
      <c r="A5" s="5" t="s">
        <v>2237</v>
      </c>
      <c r="B5" s="5" t="s">
        <v>2230</v>
      </c>
      <c r="C5" s="5" t="s">
        <v>2234</v>
      </c>
      <c r="D5" s="5" t="s">
        <v>2234</v>
      </c>
      <c r="E5" s="5" t="s">
        <v>2235</v>
      </c>
      <c r="F5" s="5" t="s">
        <v>207</v>
      </c>
      <c r="G5" s="5" t="s">
        <v>2236</v>
      </c>
      <c r="H5" s="5"/>
    </row>
    <row r="6" customFormat="false" ht="15" hidden="false" customHeight="false" outlineLevel="0" collapsed="false">
      <c r="A6" s="5" t="s">
        <v>2160</v>
      </c>
      <c r="B6" s="5" t="s">
        <v>2230</v>
      </c>
      <c r="C6" s="5" t="s">
        <v>210</v>
      </c>
      <c r="D6" s="5" t="s">
        <v>210</v>
      </c>
      <c r="E6" s="5" t="s">
        <v>210</v>
      </c>
      <c r="F6" s="5" t="s">
        <v>207</v>
      </c>
      <c r="G6" s="5" t="s">
        <v>2231</v>
      </c>
      <c r="H6" s="5"/>
    </row>
    <row r="7" customFormat="false" ht="23.85" hidden="false" customHeight="false" outlineLevel="0" collapsed="false">
      <c r="A7" s="5" t="s">
        <v>2104</v>
      </c>
      <c r="B7" s="5" t="s">
        <v>2238</v>
      </c>
      <c r="C7" s="5" t="s">
        <v>2239</v>
      </c>
      <c r="D7" s="5" t="s">
        <v>2240</v>
      </c>
      <c r="E7" s="5" t="s">
        <v>207</v>
      </c>
      <c r="F7" s="5" t="s">
        <v>207</v>
      </c>
      <c r="G7" s="5" t="s">
        <v>2241</v>
      </c>
      <c r="H7" s="5" t="s">
        <v>2242</v>
      </c>
    </row>
    <row r="8" customFormat="false" ht="15" hidden="false" customHeight="false" outlineLevel="0" collapsed="false">
      <c r="A8" s="5" t="s">
        <v>2243</v>
      </c>
      <c r="B8" s="5" t="s">
        <v>2238</v>
      </c>
      <c r="C8" s="5" t="s">
        <v>2239</v>
      </c>
      <c r="D8" s="5" t="s">
        <v>2244</v>
      </c>
      <c r="E8" s="5" t="s">
        <v>207</v>
      </c>
      <c r="F8" s="5" t="s">
        <v>207</v>
      </c>
      <c r="G8" s="5" t="s">
        <v>2241</v>
      </c>
      <c r="H8" s="5"/>
    </row>
    <row r="9" customFormat="false" ht="15" hidden="false" customHeight="false" outlineLevel="0" collapsed="false">
      <c r="A9" s="5" t="s">
        <v>2245</v>
      </c>
      <c r="B9" s="5" t="s">
        <v>2238</v>
      </c>
      <c r="C9" s="5" t="s">
        <v>2239</v>
      </c>
      <c r="D9" s="5" t="s">
        <v>2244</v>
      </c>
      <c r="E9" s="5" t="s">
        <v>207</v>
      </c>
      <c r="F9" s="5" t="s">
        <v>207</v>
      </c>
      <c r="G9" s="5" t="s">
        <v>2241</v>
      </c>
      <c r="H9" s="5"/>
    </row>
    <row r="10" customFormat="false" ht="15" hidden="false" customHeight="false" outlineLevel="0" collapsed="false">
      <c r="A10" s="5" t="s">
        <v>2246</v>
      </c>
      <c r="B10" s="5" t="s">
        <v>2238</v>
      </c>
      <c r="C10" s="5" t="s">
        <v>2239</v>
      </c>
      <c r="D10" s="5" t="s">
        <v>2244</v>
      </c>
      <c r="E10" s="5" t="s">
        <v>207</v>
      </c>
      <c r="F10" s="5" t="s">
        <v>207</v>
      </c>
      <c r="G10" s="5" t="s">
        <v>2241</v>
      </c>
      <c r="H10" s="5"/>
    </row>
    <row r="11" customFormat="false" ht="23.85" hidden="false" customHeight="false" outlineLevel="0" collapsed="false">
      <c r="A11" s="5" t="s">
        <v>2247</v>
      </c>
      <c r="B11" s="5" t="s">
        <v>2238</v>
      </c>
      <c r="C11" s="5" t="s">
        <v>2248</v>
      </c>
      <c r="D11" s="5" t="s">
        <v>2249</v>
      </c>
      <c r="E11" s="5" t="s">
        <v>207</v>
      </c>
      <c r="F11" s="5" t="s">
        <v>207</v>
      </c>
      <c r="G11" s="5" t="s">
        <v>2250</v>
      </c>
      <c r="H11" s="5"/>
    </row>
    <row r="12" customFormat="false" ht="23.85" hidden="false" customHeight="false" outlineLevel="0" collapsed="false">
      <c r="A12" s="5" t="s">
        <v>2251</v>
      </c>
      <c r="B12" s="5" t="s">
        <v>2238</v>
      </c>
      <c r="C12" s="5" t="s">
        <v>2248</v>
      </c>
      <c r="D12" s="5" t="s">
        <v>2249</v>
      </c>
      <c r="E12" s="5" t="s">
        <v>207</v>
      </c>
      <c r="F12" s="5" t="s">
        <v>207</v>
      </c>
      <c r="G12" s="5" t="s">
        <v>2250</v>
      </c>
      <c r="H12" s="5"/>
    </row>
    <row r="13" customFormat="false" ht="15" hidden="false" customHeight="false" outlineLevel="0" collapsed="false">
      <c r="A13" s="5" t="s">
        <v>2117</v>
      </c>
      <c r="B13" s="5" t="s">
        <v>2252</v>
      </c>
      <c r="C13" s="5" t="s">
        <v>2239</v>
      </c>
      <c r="D13" s="5" t="s">
        <v>2244</v>
      </c>
      <c r="E13" s="5" t="s">
        <v>207</v>
      </c>
      <c r="F13" s="5" t="s">
        <v>207</v>
      </c>
      <c r="G13" s="5" t="s">
        <v>2241</v>
      </c>
      <c r="H13" s="5"/>
    </row>
    <row r="14" customFormat="false" ht="23.85" hidden="false" customHeight="false" outlineLevel="0" collapsed="false">
      <c r="A14" s="5" t="s">
        <v>2253</v>
      </c>
      <c r="B14" s="5" t="s">
        <v>2254</v>
      </c>
      <c r="C14" s="5" t="s">
        <v>2255</v>
      </c>
      <c r="D14" s="5" t="s">
        <v>207</v>
      </c>
      <c r="E14" s="5" t="s">
        <v>2255</v>
      </c>
      <c r="F14" s="5" t="s">
        <v>207</v>
      </c>
      <c r="G14" s="5" t="s">
        <v>2256</v>
      </c>
      <c r="H14" s="5"/>
    </row>
    <row r="15" customFormat="false" ht="15" hidden="false" customHeight="false" outlineLevel="0" collapsed="false">
      <c r="A15" s="5" t="s">
        <v>2132</v>
      </c>
      <c r="B15" s="5" t="s">
        <v>2254</v>
      </c>
      <c r="C15" s="5" t="s">
        <v>2257</v>
      </c>
      <c r="D15" s="5" t="s">
        <v>207</v>
      </c>
      <c r="E15" s="5" t="s">
        <v>2257</v>
      </c>
      <c r="F15" s="5" t="s">
        <v>207</v>
      </c>
      <c r="G15" s="5" t="s">
        <v>2258</v>
      </c>
      <c r="H15" s="5"/>
    </row>
    <row r="16" customFormat="false" ht="15" hidden="false" customHeight="false" outlineLevel="0" collapsed="false">
      <c r="A16" s="5" t="s">
        <v>2259</v>
      </c>
      <c r="B16" s="5" t="s">
        <v>2254</v>
      </c>
      <c r="C16" s="5" t="s">
        <v>2260</v>
      </c>
      <c r="D16" s="5" t="s">
        <v>207</v>
      </c>
      <c r="E16" s="5" t="s">
        <v>2260</v>
      </c>
      <c r="F16" s="5" t="s">
        <v>207</v>
      </c>
      <c r="G16" s="5" t="s">
        <v>2261</v>
      </c>
      <c r="H16" s="5"/>
    </row>
    <row r="17" customFormat="false" ht="15" hidden="false" customHeight="false" outlineLevel="0" collapsed="false">
      <c r="A17" s="5" t="s">
        <v>2262</v>
      </c>
      <c r="B17" s="5" t="s">
        <v>83</v>
      </c>
      <c r="C17" s="5" t="s">
        <v>210</v>
      </c>
      <c r="D17" s="5" t="s">
        <v>207</v>
      </c>
      <c r="E17" s="5" t="s">
        <v>207</v>
      </c>
      <c r="F17" s="5" t="s">
        <v>207</v>
      </c>
      <c r="G17" s="5" t="s">
        <v>2263</v>
      </c>
      <c r="H17" s="5"/>
    </row>
    <row r="18" customFormat="false" ht="15" hidden="false" customHeight="false" outlineLevel="0" collapsed="false">
      <c r="A18" s="5" t="s">
        <v>2264</v>
      </c>
      <c r="B18" s="5" t="s">
        <v>60</v>
      </c>
      <c r="C18" s="5" t="s">
        <v>210</v>
      </c>
      <c r="D18" s="5" t="s">
        <v>207</v>
      </c>
      <c r="E18" s="5" t="s">
        <v>207</v>
      </c>
      <c r="F18" s="5" t="s">
        <v>207</v>
      </c>
      <c r="G18" s="5" t="s">
        <v>2263</v>
      </c>
      <c r="H18" s="5" t="s">
        <v>2265</v>
      </c>
    </row>
    <row r="19" customFormat="false" ht="15" hidden="false" customHeight="false" outlineLevel="0" collapsed="false">
      <c r="A19" s="5" t="s">
        <v>2266</v>
      </c>
      <c r="B19" s="5" t="s">
        <v>112</v>
      </c>
      <c r="C19" s="5" t="s">
        <v>210</v>
      </c>
      <c r="D19" s="5" t="s">
        <v>207</v>
      </c>
      <c r="E19" s="5" t="s">
        <v>207</v>
      </c>
      <c r="F19" s="5" t="s">
        <v>207</v>
      </c>
      <c r="G19" s="5" t="s">
        <v>2263</v>
      </c>
      <c r="H19" s="5"/>
    </row>
    <row r="20" customFormat="false" ht="23.85" hidden="false" customHeight="false" outlineLevel="0" collapsed="false">
      <c r="A20" s="5" t="s">
        <v>2267</v>
      </c>
      <c r="B20" s="5" t="s">
        <v>125</v>
      </c>
      <c r="C20" s="5" t="s">
        <v>210</v>
      </c>
      <c r="D20" s="5" t="s">
        <v>207</v>
      </c>
      <c r="E20" s="5" t="s">
        <v>207</v>
      </c>
      <c r="F20" s="5" t="s">
        <v>207</v>
      </c>
      <c r="G20" s="5" t="s">
        <v>2263</v>
      </c>
      <c r="H20" s="5"/>
    </row>
    <row r="21" customFormat="false" ht="23.85" hidden="false" customHeight="false" outlineLevel="0" collapsed="false">
      <c r="A21" s="5" t="s">
        <v>2268</v>
      </c>
      <c r="B21" s="5" t="s">
        <v>2090</v>
      </c>
      <c r="C21" s="5" t="s">
        <v>210</v>
      </c>
      <c r="D21" s="5" t="s">
        <v>207</v>
      </c>
      <c r="E21" s="5" t="s">
        <v>207</v>
      </c>
      <c r="F21" s="5" t="s">
        <v>2269</v>
      </c>
      <c r="G21" s="5" t="s">
        <v>2270</v>
      </c>
      <c r="H21" s="5"/>
    </row>
    <row r="22" customFormat="false" ht="15" hidden="false" customHeight="false" outlineLevel="0" collapsed="false">
      <c r="A22" s="5" t="s">
        <v>2271</v>
      </c>
      <c r="B22" s="5" t="s">
        <v>2090</v>
      </c>
      <c r="C22" s="5" t="s">
        <v>210</v>
      </c>
      <c r="D22" s="5" t="s">
        <v>207</v>
      </c>
      <c r="E22" s="5" t="s">
        <v>207</v>
      </c>
      <c r="F22" s="5" t="s">
        <v>2272</v>
      </c>
      <c r="G22" s="5" t="s">
        <v>2273</v>
      </c>
      <c r="H22" s="5"/>
    </row>
    <row r="23" customFormat="false" ht="15" hidden="false" customHeight="false" outlineLevel="0" collapsed="false">
      <c r="A23" s="5" t="s">
        <v>2274</v>
      </c>
      <c r="B23" s="5" t="s">
        <v>2275</v>
      </c>
      <c r="C23" s="5" t="s">
        <v>210</v>
      </c>
      <c r="D23" s="5" t="s">
        <v>207</v>
      </c>
      <c r="E23" s="5" t="s">
        <v>207</v>
      </c>
      <c r="F23" s="5" t="s">
        <v>207</v>
      </c>
      <c r="G23" s="5" t="s">
        <v>2270</v>
      </c>
      <c r="H23" s="5"/>
    </row>
    <row r="24" customFormat="false" ht="23.85" hidden="false" customHeight="false" outlineLevel="0" collapsed="false">
      <c r="A24" s="5" t="s">
        <v>2276</v>
      </c>
      <c r="B24" s="5" t="s">
        <v>2275</v>
      </c>
      <c r="C24" s="5" t="s">
        <v>210</v>
      </c>
      <c r="D24" s="5" t="s">
        <v>2277</v>
      </c>
      <c r="E24" s="5" t="s">
        <v>2277</v>
      </c>
      <c r="F24" s="5" t="s">
        <v>207</v>
      </c>
      <c r="G24" s="5" t="s">
        <v>2278</v>
      </c>
      <c r="H24" s="5"/>
    </row>
    <row r="25" customFormat="false" ht="15" hidden="false" customHeight="false" outlineLevel="0" collapsed="false">
      <c r="A25" s="5" t="s">
        <v>2279</v>
      </c>
      <c r="B25" s="5" t="s">
        <v>2280</v>
      </c>
      <c r="C25" s="5" t="s">
        <v>2281</v>
      </c>
      <c r="D25" s="5" t="s">
        <v>169</v>
      </c>
      <c r="E25" s="5" t="s">
        <v>169</v>
      </c>
      <c r="F25" s="5" t="s">
        <v>169</v>
      </c>
      <c r="G25" s="5" t="s">
        <v>2282</v>
      </c>
      <c r="H25" s="5" t="s">
        <v>2283</v>
      </c>
    </row>
    <row r="26" customFormat="false" ht="35.05" hidden="false" customHeight="false" outlineLevel="0" collapsed="false">
      <c r="A26" s="5" t="s">
        <v>2284</v>
      </c>
      <c r="B26" s="5" t="s">
        <v>2285</v>
      </c>
      <c r="C26" s="5" t="s">
        <v>2286</v>
      </c>
      <c r="D26" s="5" t="s">
        <v>207</v>
      </c>
      <c r="E26" s="5" t="s">
        <v>210</v>
      </c>
      <c r="F26" s="5" t="s">
        <v>207</v>
      </c>
      <c r="G26" s="5" t="s">
        <v>2287</v>
      </c>
      <c r="H26" s="5"/>
    </row>
    <row r="27" customFormat="false" ht="15" hidden="false" customHeight="false" outlineLevel="0" collapsed="false">
      <c r="A27" s="5" t="s">
        <v>2288</v>
      </c>
      <c r="B27" s="5" t="s">
        <v>1505</v>
      </c>
      <c r="C27" s="5" t="s">
        <v>210</v>
      </c>
      <c r="D27" s="5" t="s">
        <v>207</v>
      </c>
      <c r="E27" s="5" t="s">
        <v>207</v>
      </c>
      <c r="F27" s="5" t="s">
        <v>207</v>
      </c>
      <c r="G27" s="5" t="s">
        <v>2289</v>
      </c>
      <c r="H27" s="5"/>
    </row>
  </sheetData>
  <autoFilter ref="A1:H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14"/>
    <col collapsed="false" customWidth="true" hidden="false" outlineLevel="0" max="4" min="4" style="0" width="12"/>
    <col collapsed="false" customWidth="true" hidden="false" outlineLevel="0" max="5" min="5" style="0" width="80"/>
  </cols>
  <sheetData>
    <row r="1" customFormat="false" ht="30" hidden="false" customHeight="true" outlineLevel="0" collapsed="false">
      <c r="A1" s="4" t="s">
        <v>2290</v>
      </c>
      <c r="B1" s="4" t="s">
        <v>2291</v>
      </c>
      <c r="C1" s="4" t="s">
        <v>188</v>
      </c>
      <c r="D1" s="4" t="s">
        <v>1</v>
      </c>
      <c r="E1" s="4" t="s">
        <v>199</v>
      </c>
    </row>
    <row r="2" customFormat="false" ht="15" hidden="false" customHeight="false" outlineLevel="0" collapsed="false">
      <c r="A2" s="5" t="s">
        <v>2292</v>
      </c>
      <c r="B2" s="5" t="s">
        <v>2293</v>
      </c>
      <c r="C2" s="5" t="s">
        <v>244</v>
      </c>
      <c r="D2" s="5" t="s">
        <v>228</v>
      </c>
      <c r="E2" s="5" t="s">
        <v>2294</v>
      </c>
    </row>
    <row r="3" customFormat="false" ht="15" hidden="false" customHeight="false" outlineLevel="0" collapsed="false">
      <c r="A3" s="5" t="s">
        <v>2292</v>
      </c>
      <c r="B3" s="5" t="s">
        <v>121</v>
      </c>
      <c r="C3" s="5" t="s">
        <v>244</v>
      </c>
      <c r="D3" s="5" t="s">
        <v>228</v>
      </c>
      <c r="E3" s="5" t="s">
        <v>2295</v>
      </c>
    </row>
    <row r="4" customFormat="false" ht="15" hidden="false" customHeight="false" outlineLevel="0" collapsed="false">
      <c r="A4" s="5" t="s">
        <v>2292</v>
      </c>
      <c r="B4" s="5" t="s">
        <v>204</v>
      </c>
      <c r="C4" s="5" t="s">
        <v>244</v>
      </c>
      <c r="D4" s="5" t="s">
        <v>212</v>
      </c>
      <c r="E4" s="5" t="s">
        <v>2296</v>
      </c>
    </row>
    <row r="5" customFormat="false" ht="15" hidden="false" customHeight="false" outlineLevel="0" collapsed="false">
      <c r="A5" s="5" t="s">
        <v>2292</v>
      </c>
      <c r="B5" s="5" t="s">
        <v>214</v>
      </c>
      <c r="C5" s="5" t="s">
        <v>370</v>
      </c>
      <c r="D5" s="5" t="s">
        <v>212</v>
      </c>
      <c r="E5" s="5" t="s">
        <v>2297</v>
      </c>
    </row>
    <row r="6" customFormat="false" ht="15" hidden="false" customHeight="false" outlineLevel="0" collapsed="false">
      <c r="A6" s="5" t="s">
        <v>2292</v>
      </c>
      <c r="B6" s="5" t="s">
        <v>2298</v>
      </c>
      <c r="C6" s="5" t="s">
        <v>370</v>
      </c>
      <c r="D6" s="5" t="s">
        <v>228</v>
      </c>
      <c r="E6" s="5"/>
    </row>
    <row r="7" customFormat="false" ht="15" hidden="false" customHeight="false" outlineLevel="0" collapsed="false">
      <c r="A7" s="5" t="s">
        <v>2292</v>
      </c>
      <c r="B7" s="5" t="s">
        <v>2299</v>
      </c>
      <c r="C7" s="5" t="s">
        <v>2300</v>
      </c>
      <c r="D7" s="5" t="s">
        <v>228</v>
      </c>
      <c r="E7" s="5"/>
    </row>
    <row r="8" customFormat="false" ht="15" hidden="false" customHeight="false" outlineLevel="0" collapsed="false">
      <c r="A8" s="5" t="s">
        <v>2292</v>
      </c>
      <c r="B8" s="5" t="s">
        <v>2301</v>
      </c>
      <c r="C8" s="5" t="s">
        <v>370</v>
      </c>
      <c r="D8" s="5" t="s">
        <v>228</v>
      </c>
      <c r="E8" s="5"/>
    </row>
    <row r="9" customFormat="false" ht="15" hidden="false" customHeight="false" outlineLevel="0" collapsed="false">
      <c r="A9" s="5" t="s">
        <v>2292</v>
      </c>
      <c r="B9" s="5" t="s">
        <v>2302</v>
      </c>
      <c r="C9" s="5" t="s">
        <v>2300</v>
      </c>
      <c r="D9" s="5" t="s">
        <v>228</v>
      </c>
      <c r="E9" s="5"/>
    </row>
    <row r="10" customFormat="false" ht="15" hidden="false" customHeight="false" outlineLevel="0" collapsed="false">
      <c r="A10" s="5" t="s">
        <v>2292</v>
      </c>
      <c r="B10" s="5" t="s">
        <v>2303</v>
      </c>
      <c r="C10" s="5" t="s">
        <v>2304</v>
      </c>
      <c r="D10" s="5" t="s">
        <v>228</v>
      </c>
      <c r="E10" s="5" t="s">
        <v>2305</v>
      </c>
    </row>
    <row r="11" customFormat="false" ht="15" hidden="false" customHeight="false" outlineLevel="0" collapsed="false">
      <c r="A11" s="5" t="s">
        <v>2292</v>
      </c>
      <c r="B11" s="5" t="s">
        <v>2306</v>
      </c>
      <c r="C11" s="5" t="s">
        <v>2304</v>
      </c>
      <c r="D11" s="5" t="s">
        <v>228</v>
      </c>
      <c r="E11" s="5"/>
    </row>
    <row r="12" customFormat="false" ht="15" hidden="false" customHeight="false" outlineLevel="0" collapsed="false">
      <c r="A12" s="5" t="s">
        <v>2292</v>
      </c>
      <c r="B12" s="5" t="s">
        <v>2307</v>
      </c>
      <c r="C12" s="5" t="s">
        <v>2300</v>
      </c>
      <c r="D12" s="5" t="s">
        <v>228</v>
      </c>
      <c r="E12" s="5"/>
    </row>
    <row r="13" customFormat="false" ht="15" hidden="false" customHeight="false" outlineLevel="0" collapsed="false">
      <c r="A13" s="5" t="s">
        <v>2292</v>
      </c>
      <c r="B13" s="5" t="s">
        <v>2308</v>
      </c>
      <c r="C13" s="5" t="s">
        <v>370</v>
      </c>
      <c r="D13" s="5" t="s">
        <v>228</v>
      </c>
      <c r="E13" s="5"/>
    </row>
    <row r="14" customFormat="false" ht="15" hidden="false" customHeight="false" outlineLevel="0" collapsed="false">
      <c r="A14" s="5" t="s">
        <v>2292</v>
      </c>
      <c r="B14" s="5" t="s">
        <v>2309</v>
      </c>
      <c r="C14" s="5" t="s">
        <v>2300</v>
      </c>
      <c r="D14" s="5" t="s">
        <v>228</v>
      </c>
      <c r="E14" s="5"/>
    </row>
    <row r="15" customFormat="false" ht="15" hidden="false" customHeight="false" outlineLevel="0" collapsed="false">
      <c r="A15" s="5" t="s">
        <v>2292</v>
      </c>
      <c r="B15" s="5" t="s">
        <v>696</v>
      </c>
      <c r="C15" s="5" t="s">
        <v>244</v>
      </c>
      <c r="D15" s="5" t="s">
        <v>238</v>
      </c>
      <c r="E15" s="5" t="s">
        <v>310</v>
      </c>
    </row>
    <row r="16" customFormat="false" ht="15" hidden="false" customHeight="false" outlineLevel="0" collapsed="false">
      <c r="A16" s="5" t="s">
        <v>2292</v>
      </c>
      <c r="B16" s="5" t="s">
        <v>702</v>
      </c>
      <c r="C16" s="5" t="s">
        <v>2304</v>
      </c>
      <c r="D16" s="5" t="s">
        <v>228</v>
      </c>
      <c r="E16" s="5" t="s">
        <v>2310</v>
      </c>
    </row>
    <row r="17" customFormat="false" ht="15" hidden="false" customHeight="false" outlineLevel="0" collapsed="false">
      <c r="A17" s="5" t="s">
        <v>2292</v>
      </c>
      <c r="B17" s="5" t="s">
        <v>728</v>
      </c>
      <c r="C17" s="5" t="s">
        <v>244</v>
      </c>
      <c r="D17" s="5" t="s">
        <v>228</v>
      </c>
      <c r="E17" s="5" t="s">
        <v>2311</v>
      </c>
    </row>
    <row r="18" customFormat="false" ht="15" hidden="false" customHeight="false" outlineLevel="0" collapsed="false">
      <c r="A18" s="5" t="s">
        <v>2292</v>
      </c>
      <c r="B18" s="5" t="s">
        <v>647</v>
      </c>
      <c r="C18" s="5" t="s">
        <v>244</v>
      </c>
      <c r="D18" s="5" t="s">
        <v>238</v>
      </c>
      <c r="E18" s="5" t="s">
        <v>2312</v>
      </c>
    </row>
    <row r="19" customFormat="false" ht="15" hidden="false" customHeight="false" outlineLevel="0" collapsed="false">
      <c r="A19" s="5" t="s">
        <v>2292</v>
      </c>
      <c r="B19" s="5" t="s">
        <v>706</v>
      </c>
      <c r="C19" s="5" t="s">
        <v>283</v>
      </c>
      <c r="D19" s="5" t="s">
        <v>277</v>
      </c>
      <c r="E19" s="5"/>
    </row>
    <row r="20" customFormat="false" ht="15" hidden="false" customHeight="false" outlineLevel="0" collapsed="false">
      <c r="A20" s="5" t="s">
        <v>2292</v>
      </c>
      <c r="B20" s="5" t="s">
        <v>711</v>
      </c>
      <c r="C20" s="5" t="s">
        <v>244</v>
      </c>
      <c r="D20" s="5" t="s">
        <v>277</v>
      </c>
      <c r="E20" s="5" t="s">
        <v>2313</v>
      </c>
    </row>
    <row r="21" customFormat="false" ht="15" hidden="false" customHeight="false" outlineLevel="0" collapsed="false">
      <c r="A21" s="5" t="s">
        <v>2292</v>
      </c>
      <c r="B21" s="5" t="s">
        <v>718</v>
      </c>
      <c r="C21" s="5" t="s">
        <v>244</v>
      </c>
      <c r="D21" s="5" t="s">
        <v>277</v>
      </c>
      <c r="E21" s="5"/>
    </row>
    <row r="22" customFormat="false" ht="15" hidden="false" customHeight="false" outlineLevel="0" collapsed="false">
      <c r="A22" s="5" t="s">
        <v>2292</v>
      </c>
      <c r="B22" s="5" t="s">
        <v>721</v>
      </c>
      <c r="C22" s="5" t="s">
        <v>244</v>
      </c>
      <c r="D22" s="5" t="s">
        <v>277</v>
      </c>
      <c r="E22" s="5" t="s">
        <v>2314</v>
      </c>
    </row>
    <row r="23" customFormat="false" ht="15" hidden="false" customHeight="false" outlineLevel="0" collapsed="false">
      <c r="A23" s="5" t="s">
        <v>2292</v>
      </c>
      <c r="B23" s="5" t="s">
        <v>221</v>
      </c>
      <c r="C23" s="5" t="s">
        <v>224</v>
      </c>
      <c r="D23" s="5" t="s">
        <v>228</v>
      </c>
      <c r="E23" s="5" t="s">
        <v>2315</v>
      </c>
    </row>
    <row r="24" customFormat="false" ht="15" hidden="false" customHeight="false" outlineLevel="0" collapsed="false">
      <c r="A24" s="5" t="s">
        <v>2292</v>
      </c>
      <c r="B24" s="5" t="s">
        <v>231</v>
      </c>
      <c r="C24" s="5" t="s">
        <v>224</v>
      </c>
      <c r="D24" s="5" t="s">
        <v>238</v>
      </c>
      <c r="E24" s="5" t="s">
        <v>2315</v>
      </c>
    </row>
    <row r="25" customFormat="false" ht="15" hidden="false" customHeight="false" outlineLevel="0" collapsed="false">
      <c r="A25" s="5" t="s">
        <v>2292</v>
      </c>
      <c r="B25" s="5" t="s">
        <v>241</v>
      </c>
      <c r="C25" s="5" t="s">
        <v>244</v>
      </c>
      <c r="D25" s="5" t="s">
        <v>238</v>
      </c>
      <c r="E25" s="5" t="s">
        <v>2315</v>
      </c>
    </row>
    <row r="26" customFormat="false" ht="15" hidden="false" customHeight="false" outlineLevel="0" collapsed="false">
      <c r="A26" s="5" t="s">
        <v>2292</v>
      </c>
      <c r="B26" s="5" t="s">
        <v>252</v>
      </c>
      <c r="C26" s="5" t="s">
        <v>244</v>
      </c>
      <c r="D26" s="5" t="s">
        <v>238</v>
      </c>
      <c r="E26" s="5" t="s">
        <v>2315</v>
      </c>
    </row>
    <row r="27" customFormat="false" ht="15" hidden="false" customHeight="false" outlineLevel="0" collapsed="false">
      <c r="A27" s="5" t="s">
        <v>2292</v>
      </c>
      <c r="B27" s="5" t="s">
        <v>261</v>
      </c>
      <c r="C27" s="5" t="s">
        <v>265</v>
      </c>
      <c r="D27" s="5" t="s">
        <v>238</v>
      </c>
      <c r="E27" s="5" t="s">
        <v>2315</v>
      </c>
    </row>
    <row r="28" customFormat="false" ht="15" hidden="false" customHeight="false" outlineLevel="0" collapsed="false">
      <c r="A28" s="5" t="s">
        <v>2292</v>
      </c>
      <c r="B28" s="5" t="s">
        <v>271</v>
      </c>
      <c r="C28" s="5" t="s">
        <v>244</v>
      </c>
      <c r="D28" s="5" t="s">
        <v>277</v>
      </c>
      <c r="E28" s="5" t="s">
        <v>2315</v>
      </c>
    </row>
    <row r="29" customFormat="false" ht="15" hidden="false" customHeight="false" outlineLevel="0" collapsed="false">
      <c r="A29" s="5" t="s">
        <v>2292</v>
      </c>
      <c r="B29" s="5" t="s">
        <v>280</v>
      </c>
      <c r="C29" s="5" t="s">
        <v>283</v>
      </c>
      <c r="D29" s="5" t="s">
        <v>238</v>
      </c>
      <c r="E29" s="5" t="s">
        <v>2315</v>
      </c>
    </row>
    <row r="30" customFormat="false" ht="15" hidden="false" customHeight="false" outlineLevel="0" collapsed="false">
      <c r="A30" s="5" t="s">
        <v>2292</v>
      </c>
      <c r="B30" s="5" t="s">
        <v>294</v>
      </c>
      <c r="C30" s="5" t="s">
        <v>224</v>
      </c>
      <c r="D30" s="5" t="s">
        <v>277</v>
      </c>
      <c r="E30" s="5" t="s">
        <v>2315</v>
      </c>
    </row>
    <row r="31" customFormat="false" ht="15" hidden="false" customHeight="false" outlineLevel="0" collapsed="false">
      <c r="A31" s="5" t="s">
        <v>2292</v>
      </c>
      <c r="B31" s="5" t="s">
        <v>307</v>
      </c>
      <c r="C31" s="5" t="s">
        <v>244</v>
      </c>
      <c r="D31" s="5" t="s">
        <v>277</v>
      </c>
      <c r="E31" s="5" t="s">
        <v>2315</v>
      </c>
    </row>
    <row r="32" customFormat="false" ht="15" hidden="false" customHeight="false" outlineLevel="0" collapsed="false">
      <c r="A32" s="5" t="s">
        <v>2292</v>
      </c>
      <c r="B32" s="5" t="s">
        <v>320</v>
      </c>
      <c r="C32" s="5" t="s">
        <v>224</v>
      </c>
      <c r="D32" s="5" t="s">
        <v>238</v>
      </c>
      <c r="E32" s="5" t="s">
        <v>2315</v>
      </c>
    </row>
    <row r="33" customFormat="false" ht="15" hidden="false" customHeight="false" outlineLevel="0" collapsed="false">
      <c r="A33" s="5" t="s">
        <v>2292</v>
      </c>
      <c r="B33" s="5" t="s">
        <v>328</v>
      </c>
      <c r="C33" s="5" t="s">
        <v>224</v>
      </c>
      <c r="D33" s="5" t="s">
        <v>277</v>
      </c>
      <c r="E33" s="5" t="s">
        <v>2315</v>
      </c>
    </row>
    <row r="34" customFormat="false" ht="15" hidden="false" customHeight="false" outlineLevel="0" collapsed="false">
      <c r="A34" s="5" t="s">
        <v>2292</v>
      </c>
      <c r="B34" s="5" t="s">
        <v>336</v>
      </c>
      <c r="C34" s="5" t="s">
        <v>224</v>
      </c>
      <c r="D34" s="5" t="s">
        <v>277</v>
      </c>
      <c r="E34" s="5" t="s">
        <v>2315</v>
      </c>
    </row>
    <row r="35" customFormat="false" ht="15" hidden="false" customHeight="false" outlineLevel="0" collapsed="false">
      <c r="A35" s="5" t="s">
        <v>2292</v>
      </c>
      <c r="B35" s="5" t="s">
        <v>342</v>
      </c>
      <c r="C35" s="5" t="s">
        <v>346</v>
      </c>
      <c r="D35" s="5" t="s">
        <v>277</v>
      </c>
      <c r="E35" s="5" t="s">
        <v>2315</v>
      </c>
    </row>
    <row r="36" customFormat="false" ht="15" hidden="false" customHeight="false" outlineLevel="0" collapsed="false">
      <c r="A36" s="5" t="s">
        <v>2292</v>
      </c>
      <c r="B36" s="5" t="s">
        <v>353</v>
      </c>
      <c r="C36" s="5" t="s">
        <v>206</v>
      </c>
      <c r="D36" s="5" t="s">
        <v>238</v>
      </c>
      <c r="E36" s="5" t="s">
        <v>2315</v>
      </c>
    </row>
    <row r="37" customFormat="false" ht="15" hidden="false" customHeight="false" outlineLevel="0" collapsed="false">
      <c r="A37" s="5" t="s">
        <v>2292</v>
      </c>
      <c r="B37" s="5" t="s">
        <v>360</v>
      </c>
      <c r="C37" s="5" t="s">
        <v>244</v>
      </c>
      <c r="D37" s="5" t="s">
        <v>238</v>
      </c>
      <c r="E37" s="5" t="s">
        <v>2315</v>
      </c>
    </row>
    <row r="38" customFormat="false" ht="15" hidden="false" customHeight="false" outlineLevel="0" collapsed="false">
      <c r="A38" s="5" t="s">
        <v>2292</v>
      </c>
      <c r="B38" s="5" t="s">
        <v>367</v>
      </c>
      <c r="C38" s="5" t="s">
        <v>370</v>
      </c>
      <c r="D38" s="5" t="s">
        <v>228</v>
      </c>
      <c r="E38" s="5" t="s">
        <v>2315</v>
      </c>
    </row>
    <row r="39" customFormat="false" ht="15" hidden="false" customHeight="false" outlineLevel="0" collapsed="false">
      <c r="A39" s="5" t="s">
        <v>2292</v>
      </c>
      <c r="B39" s="5" t="s">
        <v>374</v>
      </c>
      <c r="C39" s="5" t="s">
        <v>377</v>
      </c>
      <c r="D39" s="5" t="s">
        <v>228</v>
      </c>
      <c r="E39" s="5" t="s">
        <v>2315</v>
      </c>
    </row>
    <row r="40" customFormat="false" ht="15" hidden="false" customHeight="false" outlineLevel="0" collapsed="false">
      <c r="A40" s="5" t="s">
        <v>2292</v>
      </c>
      <c r="B40" s="5" t="s">
        <v>380</v>
      </c>
      <c r="C40" s="5" t="s">
        <v>377</v>
      </c>
      <c r="D40" s="5" t="s">
        <v>228</v>
      </c>
      <c r="E40" s="5" t="s">
        <v>2315</v>
      </c>
    </row>
    <row r="41" customFormat="false" ht="15" hidden="false" customHeight="false" outlineLevel="0" collapsed="false">
      <c r="A41" s="5" t="s">
        <v>2292</v>
      </c>
      <c r="B41" s="5" t="s">
        <v>384</v>
      </c>
      <c r="C41" s="5" t="s">
        <v>244</v>
      </c>
      <c r="D41" s="5" t="s">
        <v>228</v>
      </c>
      <c r="E41" s="5" t="s">
        <v>2315</v>
      </c>
    </row>
    <row r="42" customFormat="false" ht="15" hidden="false" customHeight="false" outlineLevel="0" collapsed="false">
      <c r="A42" s="5" t="s">
        <v>2292</v>
      </c>
      <c r="B42" s="5" t="s">
        <v>389</v>
      </c>
      <c r="C42" s="5" t="s">
        <v>244</v>
      </c>
      <c r="D42" s="5" t="s">
        <v>228</v>
      </c>
      <c r="E42" s="5" t="s">
        <v>2315</v>
      </c>
    </row>
    <row r="43" customFormat="false" ht="15" hidden="false" customHeight="false" outlineLevel="0" collapsed="false">
      <c r="A43" s="5" t="s">
        <v>2292</v>
      </c>
      <c r="B43" s="5" t="s">
        <v>394</v>
      </c>
      <c r="C43" s="5" t="s">
        <v>244</v>
      </c>
      <c r="D43" s="5" t="s">
        <v>228</v>
      </c>
      <c r="E43" s="5" t="s">
        <v>2315</v>
      </c>
    </row>
    <row r="44" customFormat="false" ht="15" hidden="false" customHeight="false" outlineLevel="0" collapsed="false">
      <c r="A44" s="5" t="s">
        <v>2292</v>
      </c>
      <c r="B44" s="5" t="s">
        <v>398</v>
      </c>
      <c r="C44" s="5" t="s">
        <v>265</v>
      </c>
      <c r="D44" s="5" t="s">
        <v>238</v>
      </c>
      <c r="E44" s="5" t="s">
        <v>2315</v>
      </c>
    </row>
    <row r="45" customFormat="false" ht="15" hidden="false" customHeight="false" outlineLevel="0" collapsed="false">
      <c r="A45" s="5" t="s">
        <v>2292</v>
      </c>
      <c r="B45" s="5" t="s">
        <v>406</v>
      </c>
      <c r="C45" s="5" t="s">
        <v>409</v>
      </c>
      <c r="D45" s="5" t="s">
        <v>228</v>
      </c>
      <c r="E45" s="5" t="s">
        <v>2315</v>
      </c>
    </row>
    <row r="46" customFormat="false" ht="15" hidden="false" customHeight="false" outlineLevel="0" collapsed="false">
      <c r="A46" s="5" t="s">
        <v>2292</v>
      </c>
      <c r="B46" s="5" t="s">
        <v>414</v>
      </c>
      <c r="C46" s="5" t="s">
        <v>244</v>
      </c>
      <c r="D46" s="5" t="s">
        <v>238</v>
      </c>
      <c r="E46" s="5" t="s">
        <v>2315</v>
      </c>
    </row>
    <row r="47" customFormat="false" ht="15" hidden="false" customHeight="false" outlineLevel="0" collapsed="false">
      <c r="A47" s="5" t="s">
        <v>2292</v>
      </c>
      <c r="B47" s="5" t="s">
        <v>419</v>
      </c>
      <c r="C47" s="5" t="s">
        <v>370</v>
      </c>
      <c r="D47" s="5" t="s">
        <v>228</v>
      </c>
      <c r="E47" s="5" t="s">
        <v>2315</v>
      </c>
    </row>
    <row r="48" customFormat="false" ht="15" hidden="false" customHeight="false" outlineLevel="0" collapsed="false">
      <c r="A48" s="5" t="s">
        <v>2292</v>
      </c>
      <c r="B48" s="5" t="s">
        <v>423</v>
      </c>
      <c r="C48" s="5" t="s">
        <v>377</v>
      </c>
      <c r="D48" s="5" t="s">
        <v>228</v>
      </c>
      <c r="E48" s="5" t="s">
        <v>2315</v>
      </c>
    </row>
    <row r="49" customFormat="false" ht="15" hidden="false" customHeight="false" outlineLevel="0" collapsed="false">
      <c r="A49" s="5" t="s">
        <v>2292</v>
      </c>
      <c r="B49" s="5" t="s">
        <v>426</v>
      </c>
      <c r="C49" s="5" t="s">
        <v>244</v>
      </c>
      <c r="D49" s="5" t="s">
        <v>228</v>
      </c>
      <c r="E49" s="5" t="s">
        <v>2315</v>
      </c>
    </row>
    <row r="50" customFormat="false" ht="15" hidden="false" customHeight="false" outlineLevel="0" collapsed="false">
      <c r="A50" s="5" t="s">
        <v>2292</v>
      </c>
      <c r="B50" s="5" t="s">
        <v>429</v>
      </c>
      <c r="C50" s="5" t="s">
        <v>244</v>
      </c>
      <c r="D50" s="5" t="s">
        <v>228</v>
      </c>
      <c r="E50" s="5" t="s">
        <v>2315</v>
      </c>
    </row>
    <row r="51" customFormat="false" ht="15" hidden="false" customHeight="false" outlineLevel="0" collapsed="false">
      <c r="A51" s="5" t="s">
        <v>2292</v>
      </c>
      <c r="B51" s="5" t="s">
        <v>431</v>
      </c>
      <c r="C51" s="5" t="s">
        <v>244</v>
      </c>
      <c r="D51" s="5" t="s">
        <v>228</v>
      </c>
      <c r="E51" s="5" t="s">
        <v>2315</v>
      </c>
    </row>
    <row r="52" customFormat="false" ht="15" hidden="false" customHeight="false" outlineLevel="0" collapsed="false">
      <c r="A52" s="5" t="s">
        <v>2292</v>
      </c>
      <c r="B52" s="5" t="s">
        <v>433</v>
      </c>
      <c r="C52" s="5" t="s">
        <v>265</v>
      </c>
      <c r="D52" s="5" t="s">
        <v>228</v>
      </c>
      <c r="E52" s="5" t="s">
        <v>2315</v>
      </c>
    </row>
    <row r="53" customFormat="false" ht="15" hidden="false" customHeight="false" outlineLevel="0" collapsed="false">
      <c r="A53" s="5" t="s">
        <v>2292</v>
      </c>
      <c r="B53" s="5" t="s">
        <v>435</v>
      </c>
      <c r="C53" s="5" t="s">
        <v>409</v>
      </c>
      <c r="D53" s="5" t="s">
        <v>228</v>
      </c>
      <c r="E53" s="5" t="s">
        <v>2315</v>
      </c>
    </row>
    <row r="54" customFormat="false" ht="15" hidden="false" customHeight="false" outlineLevel="0" collapsed="false">
      <c r="A54" s="5" t="s">
        <v>2292</v>
      </c>
      <c r="B54" s="5" t="s">
        <v>440</v>
      </c>
      <c r="C54" s="5" t="s">
        <v>244</v>
      </c>
      <c r="D54" s="5" t="s">
        <v>238</v>
      </c>
      <c r="E54" s="5" t="s">
        <v>2315</v>
      </c>
    </row>
    <row r="55" customFormat="false" ht="15" hidden="false" customHeight="false" outlineLevel="0" collapsed="false">
      <c r="A55" s="5" t="s">
        <v>2292</v>
      </c>
      <c r="B55" s="5" t="s">
        <v>443</v>
      </c>
      <c r="C55" s="5" t="s">
        <v>370</v>
      </c>
      <c r="D55" s="5" t="s">
        <v>228</v>
      </c>
      <c r="E55" s="5" t="s">
        <v>2315</v>
      </c>
    </row>
    <row r="56" customFormat="false" ht="15" hidden="false" customHeight="false" outlineLevel="0" collapsed="false">
      <c r="A56" s="5" t="s">
        <v>2292</v>
      </c>
      <c r="B56" s="5" t="s">
        <v>444</v>
      </c>
      <c r="C56" s="5" t="s">
        <v>377</v>
      </c>
      <c r="D56" s="5" t="s">
        <v>228</v>
      </c>
      <c r="E56" s="5" t="s">
        <v>2315</v>
      </c>
    </row>
    <row r="57" customFormat="false" ht="15" hidden="false" customHeight="false" outlineLevel="0" collapsed="false">
      <c r="A57" s="5" t="s">
        <v>2292</v>
      </c>
      <c r="B57" s="5" t="s">
        <v>445</v>
      </c>
      <c r="C57" s="5" t="s">
        <v>244</v>
      </c>
      <c r="D57" s="5" t="s">
        <v>228</v>
      </c>
      <c r="E57" s="5" t="s">
        <v>2315</v>
      </c>
    </row>
    <row r="58" customFormat="false" ht="15" hidden="false" customHeight="false" outlineLevel="0" collapsed="false">
      <c r="A58" s="5" t="s">
        <v>2292</v>
      </c>
      <c r="B58" s="5" t="s">
        <v>446</v>
      </c>
      <c r="C58" s="5" t="s">
        <v>244</v>
      </c>
      <c r="D58" s="5" t="s">
        <v>228</v>
      </c>
      <c r="E58" s="5" t="s">
        <v>2315</v>
      </c>
    </row>
    <row r="59" customFormat="false" ht="15" hidden="false" customHeight="false" outlineLevel="0" collapsed="false">
      <c r="A59" s="5" t="s">
        <v>2292</v>
      </c>
      <c r="B59" s="5" t="s">
        <v>447</v>
      </c>
      <c r="C59" s="5" t="s">
        <v>244</v>
      </c>
      <c r="D59" s="5" t="s">
        <v>228</v>
      </c>
      <c r="E59" s="5" t="s">
        <v>2315</v>
      </c>
    </row>
    <row r="60" customFormat="false" ht="15" hidden="false" customHeight="false" outlineLevel="0" collapsed="false">
      <c r="A60" s="5" t="s">
        <v>2292</v>
      </c>
      <c r="B60" s="5" t="s">
        <v>448</v>
      </c>
      <c r="C60" s="5" t="s">
        <v>265</v>
      </c>
      <c r="D60" s="5" t="s">
        <v>228</v>
      </c>
      <c r="E60" s="5" t="s">
        <v>2315</v>
      </c>
    </row>
    <row r="61" customFormat="false" ht="15" hidden="false" customHeight="false" outlineLevel="0" collapsed="false">
      <c r="A61" s="5" t="s">
        <v>2292</v>
      </c>
      <c r="B61" s="5" t="s">
        <v>449</v>
      </c>
      <c r="C61" s="5" t="s">
        <v>409</v>
      </c>
      <c r="D61" s="5" t="s">
        <v>228</v>
      </c>
      <c r="E61" s="5" t="s">
        <v>2315</v>
      </c>
    </row>
    <row r="62" customFormat="false" ht="15" hidden="false" customHeight="false" outlineLevel="0" collapsed="false">
      <c r="A62" s="5" t="s">
        <v>2292</v>
      </c>
      <c r="B62" s="5" t="s">
        <v>454</v>
      </c>
      <c r="C62" s="5" t="s">
        <v>224</v>
      </c>
      <c r="D62" s="5" t="s">
        <v>238</v>
      </c>
      <c r="E62" s="5" t="s">
        <v>2315</v>
      </c>
    </row>
    <row r="63" customFormat="false" ht="15" hidden="false" customHeight="false" outlineLevel="0" collapsed="false">
      <c r="A63" s="5" t="s">
        <v>2292</v>
      </c>
      <c r="B63" s="5" t="s">
        <v>461</v>
      </c>
      <c r="C63" s="5" t="s">
        <v>206</v>
      </c>
      <c r="D63" s="5" t="s">
        <v>238</v>
      </c>
      <c r="E63" s="5" t="s">
        <v>2315</v>
      </c>
    </row>
    <row r="64" customFormat="false" ht="15" hidden="false" customHeight="false" outlineLevel="0" collapsed="false">
      <c r="A64" s="5" t="s">
        <v>2292</v>
      </c>
      <c r="B64" s="5" t="s">
        <v>467</v>
      </c>
      <c r="C64" s="5" t="s">
        <v>370</v>
      </c>
      <c r="D64" s="5" t="s">
        <v>228</v>
      </c>
      <c r="E64" s="5" t="s">
        <v>2315</v>
      </c>
    </row>
    <row r="65" customFormat="false" ht="15" hidden="false" customHeight="false" outlineLevel="0" collapsed="false">
      <c r="A65" s="5" t="s">
        <v>2292</v>
      </c>
      <c r="B65" s="5" t="s">
        <v>469</v>
      </c>
      <c r="C65" s="5" t="s">
        <v>377</v>
      </c>
      <c r="D65" s="5" t="s">
        <v>228</v>
      </c>
      <c r="E65" s="5" t="s">
        <v>2315</v>
      </c>
    </row>
    <row r="66" customFormat="false" ht="15" hidden="false" customHeight="false" outlineLevel="0" collapsed="false">
      <c r="A66" s="5" t="s">
        <v>2292</v>
      </c>
      <c r="B66" s="5" t="s">
        <v>471</v>
      </c>
      <c r="C66" s="5" t="s">
        <v>377</v>
      </c>
      <c r="D66" s="5" t="s">
        <v>228</v>
      </c>
      <c r="E66" s="5" t="s">
        <v>2315</v>
      </c>
    </row>
    <row r="67" customFormat="false" ht="15" hidden="false" customHeight="false" outlineLevel="0" collapsed="false">
      <c r="A67" s="5" t="s">
        <v>2292</v>
      </c>
      <c r="B67" s="5" t="s">
        <v>474</v>
      </c>
      <c r="C67" s="5" t="s">
        <v>244</v>
      </c>
      <c r="D67" s="5" t="s">
        <v>228</v>
      </c>
      <c r="E67" s="5" t="s">
        <v>2315</v>
      </c>
    </row>
    <row r="68" customFormat="false" ht="15" hidden="false" customHeight="false" outlineLevel="0" collapsed="false">
      <c r="A68" s="5" t="s">
        <v>2292</v>
      </c>
      <c r="B68" s="5" t="s">
        <v>476</v>
      </c>
      <c r="C68" s="5" t="s">
        <v>244</v>
      </c>
      <c r="D68" s="5" t="s">
        <v>228</v>
      </c>
      <c r="E68" s="5" t="s">
        <v>2315</v>
      </c>
    </row>
    <row r="69" customFormat="false" ht="15" hidden="false" customHeight="false" outlineLevel="0" collapsed="false">
      <c r="A69" s="5" t="s">
        <v>2292</v>
      </c>
      <c r="B69" s="5" t="s">
        <v>478</v>
      </c>
      <c r="C69" s="5" t="s">
        <v>244</v>
      </c>
      <c r="D69" s="5" t="s">
        <v>228</v>
      </c>
      <c r="E69" s="5" t="s">
        <v>2315</v>
      </c>
    </row>
    <row r="70" customFormat="false" ht="15" hidden="false" customHeight="false" outlineLevel="0" collapsed="false">
      <c r="A70" s="5" t="s">
        <v>2292</v>
      </c>
      <c r="B70" s="5" t="s">
        <v>480</v>
      </c>
      <c r="C70" s="5" t="s">
        <v>265</v>
      </c>
      <c r="D70" s="5" t="s">
        <v>228</v>
      </c>
      <c r="E70" s="5" t="s">
        <v>2315</v>
      </c>
    </row>
    <row r="71" customFormat="false" ht="15" hidden="false" customHeight="false" outlineLevel="0" collapsed="false">
      <c r="A71" s="5" t="s">
        <v>2292</v>
      </c>
      <c r="B71" s="5" t="s">
        <v>482</v>
      </c>
      <c r="C71" s="5" t="s">
        <v>409</v>
      </c>
      <c r="D71" s="5" t="s">
        <v>228</v>
      </c>
      <c r="E71" s="5" t="s">
        <v>2315</v>
      </c>
    </row>
    <row r="72" customFormat="false" ht="15" hidden="false" customHeight="false" outlineLevel="0" collapsed="false">
      <c r="A72" s="5" t="s">
        <v>2292</v>
      </c>
      <c r="B72" s="5" t="s">
        <v>485</v>
      </c>
      <c r="C72" s="5" t="s">
        <v>244</v>
      </c>
      <c r="D72" s="5" t="s">
        <v>238</v>
      </c>
      <c r="E72" s="5" t="s">
        <v>2315</v>
      </c>
    </row>
    <row r="73" customFormat="false" ht="15" hidden="false" customHeight="false" outlineLevel="0" collapsed="false">
      <c r="A73" s="5" t="s">
        <v>2292</v>
      </c>
      <c r="B73" s="5" t="s">
        <v>486</v>
      </c>
      <c r="C73" s="5" t="s">
        <v>370</v>
      </c>
      <c r="D73" s="5" t="s">
        <v>228</v>
      </c>
      <c r="E73" s="5" t="s">
        <v>2315</v>
      </c>
    </row>
    <row r="74" customFormat="false" ht="15" hidden="false" customHeight="false" outlineLevel="0" collapsed="false">
      <c r="A74" s="5" t="s">
        <v>2292</v>
      </c>
      <c r="B74" s="5" t="s">
        <v>487</v>
      </c>
      <c r="C74" s="5" t="s">
        <v>377</v>
      </c>
      <c r="D74" s="5" t="s">
        <v>228</v>
      </c>
      <c r="E74" s="5" t="s">
        <v>2315</v>
      </c>
    </row>
    <row r="75" customFormat="false" ht="15" hidden="false" customHeight="false" outlineLevel="0" collapsed="false">
      <c r="A75" s="5" t="s">
        <v>2292</v>
      </c>
      <c r="B75" s="5" t="s">
        <v>488</v>
      </c>
      <c r="C75" s="5" t="s">
        <v>244</v>
      </c>
      <c r="D75" s="5" t="s">
        <v>228</v>
      </c>
      <c r="E75" s="5" t="s">
        <v>2315</v>
      </c>
    </row>
    <row r="76" customFormat="false" ht="15" hidden="false" customHeight="false" outlineLevel="0" collapsed="false">
      <c r="A76" s="5" t="s">
        <v>2292</v>
      </c>
      <c r="B76" s="5" t="s">
        <v>489</v>
      </c>
      <c r="C76" s="5" t="s">
        <v>244</v>
      </c>
      <c r="D76" s="5" t="s">
        <v>228</v>
      </c>
      <c r="E76" s="5" t="s">
        <v>2315</v>
      </c>
    </row>
    <row r="77" customFormat="false" ht="15" hidden="false" customHeight="false" outlineLevel="0" collapsed="false">
      <c r="A77" s="5" t="s">
        <v>2292</v>
      </c>
      <c r="B77" s="5" t="s">
        <v>490</v>
      </c>
      <c r="C77" s="5" t="s">
        <v>244</v>
      </c>
      <c r="D77" s="5" t="s">
        <v>228</v>
      </c>
      <c r="E77" s="5" t="s">
        <v>2315</v>
      </c>
    </row>
    <row r="78" customFormat="false" ht="15" hidden="false" customHeight="false" outlineLevel="0" collapsed="false">
      <c r="A78" s="5" t="s">
        <v>2292</v>
      </c>
      <c r="B78" s="5" t="s">
        <v>491</v>
      </c>
      <c r="C78" s="5" t="s">
        <v>265</v>
      </c>
      <c r="D78" s="5" t="s">
        <v>228</v>
      </c>
      <c r="E78" s="5" t="s">
        <v>2315</v>
      </c>
    </row>
    <row r="79" customFormat="false" ht="15" hidden="false" customHeight="false" outlineLevel="0" collapsed="false">
      <c r="A79" s="5" t="s">
        <v>2292</v>
      </c>
      <c r="B79" s="5" t="s">
        <v>492</v>
      </c>
      <c r="C79" s="5" t="s">
        <v>409</v>
      </c>
      <c r="D79" s="5" t="s">
        <v>228</v>
      </c>
      <c r="E79" s="5" t="s">
        <v>2315</v>
      </c>
    </row>
    <row r="80" customFormat="false" ht="15" hidden="false" customHeight="false" outlineLevel="0" collapsed="false">
      <c r="A80" s="5" t="s">
        <v>2292</v>
      </c>
      <c r="B80" s="5" t="s">
        <v>494</v>
      </c>
      <c r="C80" s="5" t="s">
        <v>244</v>
      </c>
      <c r="D80" s="5" t="s">
        <v>238</v>
      </c>
      <c r="E80" s="5" t="s">
        <v>2315</v>
      </c>
    </row>
    <row r="81" customFormat="false" ht="15" hidden="false" customHeight="false" outlineLevel="0" collapsed="false">
      <c r="A81" s="5" t="s">
        <v>2292</v>
      </c>
      <c r="B81" s="5" t="s">
        <v>495</v>
      </c>
      <c r="C81" s="5" t="s">
        <v>370</v>
      </c>
      <c r="D81" s="5" t="s">
        <v>228</v>
      </c>
      <c r="E81" s="5" t="s">
        <v>2315</v>
      </c>
    </row>
    <row r="82" customFormat="false" ht="15" hidden="false" customHeight="false" outlineLevel="0" collapsed="false">
      <c r="A82" s="5" t="s">
        <v>2292</v>
      </c>
      <c r="B82" s="5" t="s">
        <v>496</v>
      </c>
      <c r="C82" s="5" t="s">
        <v>377</v>
      </c>
      <c r="D82" s="5" t="s">
        <v>228</v>
      </c>
      <c r="E82" s="5" t="s">
        <v>2315</v>
      </c>
    </row>
    <row r="83" customFormat="false" ht="15" hidden="false" customHeight="false" outlineLevel="0" collapsed="false">
      <c r="A83" s="5" t="s">
        <v>2292</v>
      </c>
      <c r="B83" s="5" t="s">
        <v>497</v>
      </c>
      <c r="C83" s="5" t="s">
        <v>244</v>
      </c>
      <c r="D83" s="5" t="s">
        <v>228</v>
      </c>
      <c r="E83" s="5" t="s">
        <v>2315</v>
      </c>
    </row>
    <row r="84" customFormat="false" ht="15" hidden="false" customHeight="false" outlineLevel="0" collapsed="false">
      <c r="A84" s="5" t="s">
        <v>2292</v>
      </c>
      <c r="B84" s="5" t="s">
        <v>498</v>
      </c>
      <c r="C84" s="5" t="s">
        <v>244</v>
      </c>
      <c r="D84" s="5" t="s">
        <v>228</v>
      </c>
      <c r="E84" s="5" t="s">
        <v>2315</v>
      </c>
    </row>
    <row r="85" customFormat="false" ht="15" hidden="false" customHeight="false" outlineLevel="0" collapsed="false">
      <c r="A85" s="5" t="s">
        <v>2292</v>
      </c>
      <c r="B85" s="5" t="s">
        <v>499</v>
      </c>
      <c r="C85" s="5" t="s">
        <v>244</v>
      </c>
      <c r="D85" s="5" t="s">
        <v>228</v>
      </c>
      <c r="E85" s="5" t="s">
        <v>2315</v>
      </c>
    </row>
    <row r="86" customFormat="false" ht="15" hidden="false" customHeight="false" outlineLevel="0" collapsed="false">
      <c r="A86" s="5" t="s">
        <v>2292</v>
      </c>
      <c r="B86" s="5" t="s">
        <v>500</v>
      </c>
      <c r="C86" s="5" t="s">
        <v>265</v>
      </c>
      <c r="D86" s="5" t="s">
        <v>228</v>
      </c>
      <c r="E86" s="5" t="s">
        <v>2315</v>
      </c>
    </row>
    <row r="87" customFormat="false" ht="15" hidden="false" customHeight="false" outlineLevel="0" collapsed="false">
      <c r="A87" s="5" t="s">
        <v>2292</v>
      </c>
      <c r="B87" s="5" t="s">
        <v>501</v>
      </c>
      <c r="C87" s="5" t="s">
        <v>409</v>
      </c>
      <c r="D87" s="5" t="s">
        <v>228</v>
      </c>
      <c r="E87" s="5" t="s">
        <v>2315</v>
      </c>
    </row>
    <row r="88" customFormat="false" ht="15" hidden="false" customHeight="false" outlineLevel="0" collapsed="false">
      <c r="A88" s="5" t="s">
        <v>2292</v>
      </c>
      <c r="B88" s="5" t="s">
        <v>609</v>
      </c>
      <c r="C88" s="5" t="s">
        <v>206</v>
      </c>
      <c r="D88" s="5" t="s">
        <v>238</v>
      </c>
      <c r="E88" s="5" t="s">
        <v>2315</v>
      </c>
    </row>
    <row r="89" customFormat="false" ht="15" hidden="false" customHeight="false" outlineLevel="0" collapsed="false">
      <c r="A89" s="5" t="s">
        <v>2292</v>
      </c>
      <c r="B89" s="5" t="s">
        <v>618</v>
      </c>
      <c r="C89" s="5" t="s">
        <v>224</v>
      </c>
      <c r="D89" s="5" t="s">
        <v>238</v>
      </c>
      <c r="E89" s="5" t="s">
        <v>2315</v>
      </c>
    </row>
    <row r="90" customFormat="false" ht="15" hidden="false" customHeight="false" outlineLevel="0" collapsed="false">
      <c r="A90" s="5" t="s">
        <v>2292</v>
      </c>
      <c r="B90" s="5" t="s">
        <v>623</v>
      </c>
      <c r="C90" s="5" t="s">
        <v>346</v>
      </c>
      <c r="D90" s="5" t="s">
        <v>277</v>
      </c>
      <c r="E90" s="5" t="s">
        <v>2315</v>
      </c>
    </row>
    <row r="91" customFormat="false" ht="15" hidden="false" customHeight="false" outlineLevel="0" collapsed="false">
      <c r="A91" s="6" t="s">
        <v>2292</v>
      </c>
      <c r="B91" s="6" t="s">
        <v>2316</v>
      </c>
      <c r="C91" s="6" t="s">
        <v>244</v>
      </c>
      <c r="D91" s="6" t="s">
        <v>1831</v>
      </c>
      <c r="E91" s="6" t="s">
        <v>2317</v>
      </c>
    </row>
    <row r="92" customFormat="false" ht="15" hidden="false" customHeight="false" outlineLevel="0" collapsed="false">
      <c r="A92" s="5" t="s">
        <v>2318</v>
      </c>
      <c r="B92" s="5" t="s">
        <v>2293</v>
      </c>
      <c r="C92" s="5" t="s">
        <v>244</v>
      </c>
      <c r="D92" s="5" t="s">
        <v>228</v>
      </c>
      <c r="E92" s="5" t="s">
        <v>2319</v>
      </c>
    </row>
    <row r="93" customFormat="false" ht="15" hidden="false" customHeight="false" outlineLevel="0" collapsed="false">
      <c r="A93" s="5" t="s">
        <v>2318</v>
      </c>
      <c r="B93" s="5" t="s">
        <v>2320</v>
      </c>
      <c r="C93" s="5" t="s">
        <v>2321</v>
      </c>
      <c r="D93" s="5" t="s">
        <v>228</v>
      </c>
      <c r="E93" s="5" t="s">
        <v>2322</v>
      </c>
    </row>
    <row r="94" customFormat="false" ht="15" hidden="false" customHeight="false" outlineLevel="0" collapsed="false">
      <c r="A94" s="5" t="s">
        <v>2318</v>
      </c>
      <c r="B94" s="5" t="s">
        <v>506</v>
      </c>
      <c r="C94" s="5" t="s">
        <v>508</v>
      </c>
      <c r="D94" s="5" t="s">
        <v>228</v>
      </c>
      <c r="E94" s="5" t="s">
        <v>2315</v>
      </c>
    </row>
    <row r="95" customFormat="false" ht="15" hidden="false" customHeight="false" outlineLevel="0" collapsed="false">
      <c r="A95" s="5" t="s">
        <v>2318</v>
      </c>
      <c r="B95" s="5" t="s">
        <v>513</v>
      </c>
      <c r="C95" s="5" t="s">
        <v>244</v>
      </c>
      <c r="D95" s="5" t="s">
        <v>238</v>
      </c>
      <c r="E95" s="5" t="s">
        <v>2315</v>
      </c>
    </row>
    <row r="96" customFormat="false" ht="15" hidden="false" customHeight="false" outlineLevel="0" collapsed="false">
      <c r="A96" s="5" t="s">
        <v>2318</v>
      </c>
      <c r="B96" s="5" t="s">
        <v>522</v>
      </c>
      <c r="C96" s="5" t="s">
        <v>283</v>
      </c>
      <c r="D96" s="5" t="s">
        <v>238</v>
      </c>
      <c r="E96" s="5" t="s">
        <v>2315</v>
      </c>
    </row>
    <row r="97" customFormat="false" ht="15" hidden="false" customHeight="false" outlineLevel="0" collapsed="false">
      <c r="A97" s="5" t="s">
        <v>2318</v>
      </c>
      <c r="B97" s="5" t="s">
        <v>528</v>
      </c>
      <c r="C97" s="5" t="s">
        <v>531</v>
      </c>
      <c r="D97" s="5" t="s">
        <v>228</v>
      </c>
      <c r="E97" s="5" t="s">
        <v>2315</v>
      </c>
    </row>
    <row r="98" customFormat="false" ht="15" hidden="false" customHeight="false" outlineLevel="0" collapsed="false">
      <c r="A98" s="5" t="s">
        <v>2318</v>
      </c>
      <c r="B98" s="5" t="s">
        <v>535</v>
      </c>
      <c r="C98" s="5" t="s">
        <v>531</v>
      </c>
      <c r="D98" s="5" t="s">
        <v>238</v>
      </c>
      <c r="E98" s="5" t="s">
        <v>2315</v>
      </c>
    </row>
    <row r="99" customFormat="false" ht="15" hidden="false" customHeight="false" outlineLevel="0" collapsed="false">
      <c r="A99" s="5" t="s">
        <v>2318</v>
      </c>
      <c r="B99" s="5" t="s">
        <v>541</v>
      </c>
      <c r="C99" s="5" t="s">
        <v>531</v>
      </c>
      <c r="D99" s="5" t="s">
        <v>228</v>
      </c>
      <c r="E99" s="5" t="s">
        <v>2315</v>
      </c>
    </row>
    <row r="100" customFormat="false" ht="15" hidden="false" customHeight="false" outlineLevel="0" collapsed="false">
      <c r="A100" s="5" t="s">
        <v>2318</v>
      </c>
      <c r="B100" s="5" t="s">
        <v>548</v>
      </c>
      <c r="C100" s="5" t="s">
        <v>551</v>
      </c>
      <c r="D100" s="5" t="s">
        <v>238</v>
      </c>
      <c r="E100" s="5" t="s">
        <v>2315</v>
      </c>
    </row>
    <row r="101" customFormat="false" ht="15" hidden="false" customHeight="false" outlineLevel="0" collapsed="false">
      <c r="A101" s="5" t="s">
        <v>2318</v>
      </c>
      <c r="B101" s="5" t="s">
        <v>557</v>
      </c>
      <c r="C101" s="5" t="s">
        <v>244</v>
      </c>
      <c r="D101" s="5" t="s">
        <v>228</v>
      </c>
      <c r="E101" s="5" t="s">
        <v>2315</v>
      </c>
    </row>
    <row r="102" customFormat="false" ht="15" hidden="false" customHeight="false" outlineLevel="0" collapsed="false">
      <c r="A102" s="5" t="s">
        <v>2318</v>
      </c>
      <c r="B102" s="5" t="s">
        <v>562</v>
      </c>
      <c r="C102" s="5" t="s">
        <v>206</v>
      </c>
      <c r="D102" s="5" t="s">
        <v>238</v>
      </c>
      <c r="E102" s="5" t="s">
        <v>2315</v>
      </c>
    </row>
    <row r="103" customFormat="false" ht="15" hidden="false" customHeight="false" outlineLevel="0" collapsed="false">
      <c r="A103" s="5" t="s">
        <v>2318</v>
      </c>
      <c r="B103" s="5" t="s">
        <v>571</v>
      </c>
      <c r="C103" s="5" t="s">
        <v>206</v>
      </c>
      <c r="D103" s="5" t="s">
        <v>238</v>
      </c>
      <c r="E103" s="5" t="s">
        <v>2323</v>
      </c>
    </row>
    <row r="104" customFormat="false" ht="15" hidden="false" customHeight="false" outlineLevel="0" collapsed="false">
      <c r="A104" s="5" t="s">
        <v>2318</v>
      </c>
      <c r="B104" s="5" t="s">
        <v>578</v>
      </c>
      <c r="C104" s="5" t="s">
        <v>206</v>
      </c>
      <c r="D104" s="5" t="s">
        <v>238</v>
      </c>
      <c r="E104" s="5" t="s">
        <v>2315</v>
      </c>
    </row>
    <row r="105" customFormat="false" ht="15" hidden="false" customHeight="false" outlineLevel="0" collapsed="false">
      <c r="A105" s="5" t="s">
        <v>2318</v>
      </c>
      <c r="B105" s="5" t="s">
        <v>587</v>
      </c>
      <c r="C105" s="5" t="s">
        <v>265</v>
      </c>
      <c r="D105" s="5" t="s">
        <v>238</v>
      </c>
      <c r="E105" s="5" t="s">
        <v>2315</v>
      </c>
    </row>
    <row r="106" customFormat="false" ht="15" hidden="false" customHeight="false" outlineLevel="0" collapsed="false">
      <c r="A106" s="5" t="s">
        <v>2318</v>
      </c>
      <c r="B106" s="5" t="s">
        <v>600</v>
      </c>
      <c r="C106" s="5" t="s">
        <v>346</v>
      </c>
      <c r="D106" s="5" t="s">
        <v>277</v>
      </c>
      <c r="E106" s="5" t="s">
        <v>2315</v>
      </c>
    </row>
    <row r="107" customFormat="false" ht="15" hidden="false" customHeight="false" outlineLevel="0" collapsed="false">
      <c r="A107" s="5" t="s">
        <v>2318</v>
      </c>
      <c r="B107" s="5" t="s">
        <v>656</v>
      </c>
      <c r="C107" s="5" t="s">
        <v>2324</v>
      </c>
      <c r="D107" s="5" t="s">
        <v>277</v>
      </c>
      <c r="E107" s="5" t="s">
        <v>2325</v>
      </c>
    </row>
    <row r="108" customFormat="false" ht="15" hidden="false" customHeight="false" outlineLevel="0" collapsed="false">
      <c r="A108" s="5" t="s">
        <v>2326</v>
      </c>
      <c r="B108" s="5" t="s">
        <v>2293</v>
      </c>
      <c r="C108" s="5" t="s">
        <v>244</v>
      </c>
      <c r="D108" s="5" t="s">
        <v>212</v>
      </c>
      <c r="E108" s="5" t="s">
        <v>2327</v>
      </c>
    </row>
    <row r="109" customFormat="false" ht="23.85" hidden="false" customHeight="false" outlineLevel="0" collapsed="false">
      <c r="A109" s="5" t="s">
        <v>2326</v>
      </c>
      <c r="B109" s="5" t="s">
        <v>2328</v>
      </c>
      <c r="C109" s="5" t="s">
        <v>244</v>
      </c>
      <c r="D109" s="5" t="s">
        <v>238</v>
      </c>
      <c r="E109" s="5" t="s">
        <v>2329</v>
      </c>
    </row>
    <row r="110" customFormat="false" ht="15" hidden="false" customHeight="false" outlineLevel="0" collapsed="false">
      <c r="A110" s="5" t="s">
        <v>2326</v>
      </c>
      <c r="B110" s="5" t="s">
        <v>2320</v>
      </c>
      <c r="C110" s="5" t="s">
        <v>2321</v>
      </c>
      <c r="D110" s="5" t="s">
        <v>228</v>
      </c>
      <c r="E110" s="5" t="s">
        <v>2330</v>
      </c>
    </row>
    <row r="111" customFormat="false" ht="15" hidden="false" customHeight="false" outlineLevel="0" collapsed="false">
      <c r="A111" s="5" t="s">
        <v>2326</v>
      </c>
      <c r="B111" s="5" t="s">
        <v>1543</v>
      </c>
      <c r="C111" s="5" t="s">
        <v>244</v>
      </c>
      <c r="D111" s="5" t="s">
        <v>228</v>
      </c>
      <c r="E111" s="5"/>
    </row>
    <row r="112" customFormat="false" ht="15" hidden="false" customHeight="false" outlineLevel="0" collapsed="false">
      <c r="A112" s="5" t="s">
        <v>2326</v>
      </c>
      <c r="B112" s="5" t="s">
        <v>2331</v>
      </c>
      <c r="C112" s="5" t="s">
        <v>244</v>
      </c>
      <c r="D112" s="5" t="s">
        <v>228</v>
      </c>
      <c r="E112" s="5"/>
    </row>
    <row r="113" customFormat="false" ht="15" hidden="false" customHeight="false" outlineLevel="0" collapsed="false">
      <c r="A113" s="5" t="s">
        <v>2326</v>
      </c>
      <c r="B113" s="5" t="s">
        <v>2332</v>
      </c>
      <c r="C113" s="5" t="s">
        <v>244</v>
      </c>
      <c r="D113" s="5" t="s">
        <v>228</v>
      </c>
      <c r="E113" s="5"/>
    </row>
    <row r="114" customFormat="false" ht="15" hidden="false" customHeight="false" outlineLevel="0" collapsed="false">
      <c r="A114" s="5" t="s">
        <v>2326</v>
      </c>
      <c r="B114" s="5" t="s">
        <v>2333</v>
      </c>
      <c r="C114" s="5" t="s">
        <v>244</v>
      </c>
      <c r="D114" s="5" t="s">
        <v>228</v>
      </c>
      <c r="E114" s="5"/>
    </row>
    <row r="115" customFormat="false" ht="15" hidden="false" customHeight="false" outlineLevel="0" collapsed="false">
      <c r="A115" s="5" t="s">
        <v>2326</v>
      </c>
      <c r="B115" s="5" t="s">
        <v>2334</v>
      </c>
      <c r="C115" s="5" t="s">
        <v>244</v>
      </c>
      <c r="D115" s="5" t="s">
        <v>228</v>
      </c>
      <c r="E115" s="5"/>
    </row>
    <row r="116" customFormat="false" ht="15" hidden="false" customHeight="false" outlineLevel="0" collapsed="false">
      <c r="A116" s="5" t="s">
        <v>2326</v>
      </c>
      <c r="B116" s="5" t="s">
        <v>2335</v>
      </c>
      <c r="C116" s="5" t="s">
        <v>2321</v>
      </c>
      <c r="D116" s="5" t="s">
        <v>277</v>
      </c>
      <c r="E116" s="5" t="s">
        <v>2336</v>
      </c>
    </row>
    <row r="117" customFormat="false" ht="15" hidden="false" customHeight="false" outlineLevel="0" collapsed="false">
      <c r="A117" s="5" t="s">
        <v>2326</v>
      </c>
      <c r="B117" s="5" t="s">
        <v>2337</v>
      </c>
      <c r="C117" s="5" t="s">
        <v>244</v>
      </c>
      <c r="D117" s="5" t="s">
        <v>1768</v>
      </c>
      <c r="E117" s="5" t="s">
        <v>2338</v>
      </c>
    </row>
    <row r="118" customFormat="false" ht="15" hidden="false" customHeight="false" outlineLevel="0" collapsed="false">
      <c r="A118" s="5" t="s">
        <v>2326</v>
      </c>
      <c r="B118" s="5" t="s">
        <v>2339</v>
      </c>
      <c r="C118" s="5" t="s">
        <v>2340</v>
      </c>
      <c r="D118" s="5" t="s">
        <v>1768</v>
      </c>
      <c r="E118" s="5" t="s">
        <v>2341</v>
      </c>
    </row>
    <row r="119" customFormat="false" ht="15" hidden="false" customHeight="false" outlineLevel="0" collapsed="false">
      <c r="A119" s="5" t="s">
        <v>77</v>
      </c>
      <c r="B119" s="5" t="s">
        <v>189</v>
      </c>
      <c r="C119" s="5" t="s">
        <v>244</v>
      </c>
      <c r="D119" s="5" t="s">
        <v>228</v>
      </c>
      <c r="E119" s="5"/>
    </row>
    <row r="120" customFormat="false" ht="15" hidden="false" customHeight="false" outlineLevel="0" collapsed="false">
      <c r="A120" s="5" t="s">
        <v>77</v>
      </c>
      <c r="B120" s="5" t="s">
        <v>184</v>
      </c>
      <c r="C120" s="5" t="s">
        <v>244</v>
      </c>
      <c r="D120" s="5" t="s">
        <v>1768</v>
      </c>
      <c r="E120" s="5" t="s">
        <v>2342</v>
      </c>
    </row>
    <row r="121" customFormat="false" ht="15" hidden="false" customHeight="false" outlineLevel="0" collapsed="false">
      <c r="A121" s="5" t="s">
        <v>77</v>
      </c>
      <c r="B121" s="5" t="s">
        <v>732</v>
      </c>
      <c r="C121" s="5" t="s">
        <v>244</v>
      </c>
      <c r="D121" s="5" t="s">
        <v>228</v>
      </c>
      <c r="E121" s="5"/>
    </row>
    <row r="122" customFormat="false" ht="15" hidden="false" customHeight="false" outlineLevel="0" collapsed="false">
      <c r="A122" s="5" t="s">
        <v>77</v>
      </c>
      <c r="B122" s="5" t="s">
        <v>733</v>
      </c>
      <c r="C122" s="5" t="s">
        <v>244</v>
      </c>
      <c r="D122" s="5" t="s">
        <v>228</v>
      </c>
      <c r="E122" s="5"/>
    </row>
    <row r="123" customFormat="false" ht="15" hidden="false" customHeight="false" outlineLevel="0" collapsed="false">
      <c r="A123" s="5" t="s">
        <v>77</v>
      </c>
      <c r="B123" s="5" t="s">
        <v>2343</v>
      </c>
      <c r="C123" s="5" t="s">
        <v>2344</v>
      </c>
      <c r="D123" s="5" t="s">
        <v>238</v>
      </c>
      <c r="E123" s="5" t="s">
        <v>2345</v>
      </c>
    </row>
    <row r="124" customFormat="false" ht="15" hidden="false" customHeight="false" outlineLevel="0" collapsed="false">
      <c r="A124" s="5" t="s">
        <v>77</v>
      </c>
      <c r="B124" s="5" t="s">
        <v>1551</v>
      </c>
      <c r="C124" s="5" t="s">
        <v>244</v>
      </c>
      <c r="D124" s="5" t="s">
        <v>228</v>
      </c>
      <c r="E124" s="5"/>
    </row>
    <row r="125" customFormat="false" ht="15" hidden="false" customHeight="false" outlineLevel="0" collapsed="false">
      <c r="A125" s="5" t="s">
        <v>77</v>
      </c>
      <c r="B125" s="5" t="s">
        <v>1552</v>
      </c>
      <c r="C125" s="5" t="s">
        <v>244</v>
      </c>
      <c r="D125" s="5" t="s">
        <v>228</v>
      </c>
      <c r="E125" s="5"/>
    </row>
    <row r="126" customFormat="false" ht="15" hidden="false" customHeight="false" outlineLevel="0" collapsed="false">
      <c r="A126" s="5" t="s">
        <v>77</v>
      </c>
      <c r="B126" s="5" t="s">
        <v>736</v>
      </c>
      <c r="C126" s="5" t="s">
        <v>244</v>
      </c>
      <c r="D126" s="5" t="s">
        <v>228</v>
      </c>
      <c r="E126" s="5"/>
    </row>
    <row r="127" customFormat="false" ht="15" hidden="false" customHeight="false" outlineLevel="0" collapsed="false">
      <c r="A127" s="5" t="s">
        <v>77</v>
      </c>
      <c r="B127" s="5" t="s">
        <v>121</v>
      </c>
      <c r="C127" s="5" t="s">
        <v>244</v>
      </c>
      <c r="D127" s="5" t="s">
        <v>228</v>
      </c>
      <c r="E127" s="5"/>
    </row>
    <row r="128" customFormat="false" ht="15" hidden="false" customHeight="false" outlineLevel="0" collapsed="false">
      <c r="A128" s="5" t="s">
        <v>77</v>
      </c>
      <c r="B128" s="5" t="s">
        <v>93</v>
      </c>
      <c r="C128" s="5" t="s">
        <v>2321</v>
      </c>
      <c r="D128" s="5" t="s">
        <v>1768</v>
      </c>
      <c r="E128" s="5" t="s">
        <v>2346</v>
      </c>
    </row>
    <row r="129" customFormat="false" ht="15" hidden="false" customHeight="false" outlineLevel="0" collapsed="false">
      <c r="A129" s="5" t="s">
        <v>77</v>
      </c>
      <c r="B129" s="5" t="s">
        <v>737</v>
      </c>
      <c r="C129" s="5" t="s">
        <v>2340</v>
      </c>
      <c r="D129" s="5" t="s">
        <v>1768</v>
      </c>
      <c r="E129" s="5" t="s">
        <v>2347</v>
      </c>
    </row>
    <row r="130" customFormat="false" ht="15" hidden="false" customHeight="false" outlineLevel="0" collapsed="false">
      <c r="A130" s="5" t="s">
        <v>77</v>
      </c>
      <c r="B130" s="5" t="s">
        <v>1553</v>
      </c>
      <c r="C130" s="5" t="s">
        <v>244</v>
      </c>
      <c r="D130" s="5" t="s">
        <v>228</v>
      </c>
      <c r="E130" s="5"/>
    </row>
    <row r="131" customFormat="false" ht="15" hidden="false" customHeight="false" outlineLevel="0" collapsed="false">
      <c r="A131" s="5" t="s">
        <v>77</v>
      </c>
      <c r="B131" s="5" t="s">
        <v>1554</v>
      </c>
      <c r="C131" s="5" t="s">
        <v>244</v>
      </c>
      <c r="D131" s="5" t="s">
        <v>228</v>
      </c>
      <c r="E131" s="5"/>
    </row>
    <row r="132" customFormat="false" ht="15" hidden="false" customHeight="false" outlineLevel="0" collapsed="false">
      <c r="A132" s="5" t="s">
        <v>144</v>
      </c>
      <c r="B132" s="5" t="s">
        <v>184</v>
      </c>
      <c r="C132" s="5" t="s">
        <v>244</v>
      </c>
      <c r="D132" s="5" t="s">
        <v>228</v>
      </c>
      <c r="E132" s="5" t="s">
        <v>2348</v>
      </c>
    </row>
    <row r="133" customFormat="false" ht="15" hidden="false" customHeight="false" outlineLevel="0" collapsed="false">
      <c r="A133" s="5" t="s">
        <v>144</v>
      </c>
      <c r="B133" s="5" t="s">
        <v>732</v>
      </c>
      <c r="C133" s="5" t="s">
        <v>244</v>
      </c>
      <c r="D133" s="5" t="s">
        <v>228</v>
      </c>
      <c r="E133" s="5" t="s">
        <v>2348</v>
      </c>
    </row>
    <row r="134" customFormat="false" ht="15" hidden="false" customHeight="false" outlineLevel="0" collapsed="false">
      <c r="A134" s="5" t="s">
        <v>144</v>
      </c>
      <c r="B134" s="5" t="s">
        <v>1509</v>
      </c>
      <c r="C134" s="5" t="s">
        <v>244</v>
      </c>
      <c r="D134" s="5" t="s">
        <v>228</v>
      </c>
      <c r="E134" s="5" t="s">
        <v>2348</v>
      </c>
    </row>
    <row r="135" customFormat="false" ht="23.85" hidden="false" customHeight="false" outlineLevel="0" collapsed="false">
      <c r="A135" s="5" t="s">
        <v>2349</v>
      </c>
      <c r="B135" s="5" t="s">
        <v>146</v>
      </c>
      <c r="C135" s="5" t="s">
        <v>2350</v>
      </c>
      <c r="D135" s="5" t="s">
        <v>228</v>
      </c>
      <c r="E135" s="5" t="s">
        <v>2351</v>
      </c>
    </row>
    <row r="136" customFormat="false" ht="15" hidden="false" customHeight="false" outlineLevel="0" collapsed="false">
      <c r="A136" s="5" t="s">
        <v>2349</v>
      </c>
      <c r="B136" s="5" t="s">
        <v>2352</v>
      </c>
      <c r="C136" s="5" t="s">
        <v>2350</v>
      </c>
      <c r="D136" s="5" t="s">
        <v>228</v>
      </c>
      <c r="E136" s="5" t="s">
        <v>2353</v>
      </c>
    </row>
    <row r="137" customFormat="false" ht="15" hidden="false" customHeight="false" outlineLevel="0" collapsed="false">
      <c r="A137" s="5" t="s">
        <v>2349</v>
      </c>
      <c r="B137" s="5" t="s">
        <v>2354</v>
      </c>
      <c r="C137" s="5" t="s">
        <v>2350</v>
      </c>
      <c r="D137" s="5" t="s">
        <v>228</v>
      </c>
      <c r="E137" s="5" t="s">
        <v>2355</v>
      </c>
    </row>
    <row r="138" customFormat="false" ht="23.85" hidden="false" customHeight="false" outlineLevel="0" collapsed="false">
      <c r="A138" s="5" t="s">
        <v>2349</v>
      </c>
      <c r="B138" s="5" t="s">
        <v>153</v>
      </c>
      <c r="C138" s="5" t="s">
        <v>2350</v>
      </c>
      <c r="D138" s="5" t="s">
        <v>277</v>
      </c>
      <c r="E138" s="5" t="s">
        <v>2356</v>
      </c>
    </row>
    <row r="139" customFormat="false" ht="15" hidden="false" customHeight="false" outlineLevel="0" collapsed="false">
      <c r="A139" s="5" t="s">
        <v>2349</v>
      </c>
      <c r="B139" s="5" t="s">
        <v>2357</v>
      </c>
      <c r="C139" s="5" t="s">
        <v>2350</v>
      </c>
      <c r="D139" s="5" t="s">
        <v>1768</v>
      </c>
      <c r="E139" s="5" t="s">
        <v>2358</v>
      </c>
    </row>
    <row r="140" customFormat="false" ht="23.85" hidden="false" customHeight="false" outlineLevel="0" collapsed="false">
      <c r="A140" s="5" t="s">
        <v>2349</v>
      </c>
      <c r="B140" s="5" t="s">
        <v>2359</v>
      </c>
      <c r="C140" s="5" t="s">
        <v>2350</v>
      </c>
      <c r="D140" s="5" t="s">
        <v>1768</v>
      </c>
      <c r="E140" s="5" t="s">
        <v>2360</v>
      </c>
    </row>
    <row r="141" customFormat="false" ht="15" hidden="false" customHeight="false" outlineLevel="0" collapsed="false">
      <c r="A141" s="5" t="s">
        <v>2349</v>
      </c>
      <c r="B141" s="5" t="s">
        <v>2361</v>
      </c>
      <c r="C141" s="5" t="s">
        <v>2350</v>
      </c>
      <c r="D141" s="5" t="s">
        <v>1768</v>
      </c>
      <c r="E141" s="5" t="s">
        <v>2362</v>
      </c>
    </row>
    <row r="142" customFormat="false" ht="23.85" hidden="false" customHeight="false" outlineLevel="0" collapsed="false">
      <c r="A142" s="5" t="s">
        <v>2349</v>
      </c>
      <c r="B142" s="5" t="s">
        <v>2363</v>
      </c>
      <c r="C142" s="5" t="s">
        <v>2350</v>
      </c>
      <c r="D142" s="5" t="s">
        <v>1768</v>
      </c>
      <c r="E142" s="5" t="s">
        <v>2364</v>
      </c>
    </row>
    <row r="143" customFormat="false" ht="15" hidden="false" customHeight="false" outlineLevel="0" collapsed="false">
      <c r="A143" s="5" t="s">
        <v>2349</v>
      </c>
      <c r="B143" s="5" t="s">
        <v>2365</v>
      </c>
      <c r="C143" s="5" t="s">
        <v>2350</v>
      </c>
      <c r="D143" s="5" t="s">
        <v>1768</v>
      </c>
      <c r="E143" s="5" t="s">
        <v>2366</v>
      </c>
    </row>
    <row r="144" customFormat="false" ht="15" hidden="false" customHeight="false" outlineLevel="0" collapsed="false">
      <c r="A144" s="5" t="s">
        <v>2349</v>
      </c>
      <c r="B144" s="5" t="s">
        <v>2367</v>
      </c>
      <c r="C144" s="5" t="s">
        <v>2350</v>
      </c>
      <c r="D144" s="5" t="s">
        <v>1768</v>
      </c>
      <c r="E144" s="5" t="s">
        <v>2368</v>
      </c>
    </row>
    <row r="145" customFormat="false" ht="23.85" hidden="false" customHeight="false" outlineLevel="0" collapsed="false">
      <c r="A145" s="5" t="s">
        <v>2349</v>
      </c>
      <c r="B145" s="5" t="s">
        <v>164</v>
      </c>
      <c r="C145" s="5" t="s">
        <v>2350</v>
      </c>
      <c r="D145" s="5" t="s">
        <v>1768</v>
      </c>
      <c r="E145" s="5" t="s">
        <v>2369</v>
      </c>
    </row>
    <row r="146" customFormat="false" ht="15" hidden="false" customHeight="false" outlineLevel="0" collapsed="false">
      <c r="A146" s="5" t="s">
        <v>123</v>
      </c>
      <c r="B146" s="5" t="s">
        <v>2370</v>
      </c>
      <c r="C146" s="5" t="s">
        <v>244</v>
      </c>
      <c r="D146" s="5" t="s">
        <v>1768</v>
      </c>
      <c r="E146" s="5" t="s">
        <v>2371</v>
      </c>
    </row>
    <row r="147" customFormat="false" ht="15" hidden="false" customHeight="false" outlineLevel="0" collapsed="false">
      <c r="A147" s="5" t="s">
        <v>123</v>
      </c>
      <c r="B147" s="5" t="s">
        <v>182</v>
      </c>
      <c r="C147" s="5" t="s">
        <v>244</v>
      </c>
      <c r="D147" s="5" t="s">
        <v>1768</v>
      </c>
      <c r="E147" s="5"/>
    </row>
    <row r="148" customFormat="false" ht="15" hidden="false" customHeight="false" outlineLevel="0" collapsed="false">
      <c r="A148" s="5" t="s">
        <v>123</v>
      </c>
      <c r="B148" s="5" t="s">
        <v>183</v>
      </c>
      <c r="C148" s="5" t="s">
        <v>244</v>
      </c>
      <c r="D148" s="5" t="s">
        <v>1768</v>
      </c>
      <c r="E148" s="5" t="s">
        <v>2372</v>
      </c>
    </row>
    <row r="149" customFormat="false" ht="15" hidden="false" customHeight="false" outlineLevel="0" collapsed="false">
      <c r="A149" s="5" t="s">
        <v>123</v>
      </c>
      <c r="B149" s="5" t="s">
        <v>184</v>
      </c>
      <c r="C149" s="5" t="s">
        <v>244</v>
      </c>
      <c r="D149" s="5" t="s">
        <v>1768</v>
      </c>
      <c r="E149" s="5"/>
    </row>
    <row r="150" customFormat="false" ht="15" hidden="false" customHeight="false" outlineLevel="0" collapsed="false">
      <c r="A150" s="5" t="s">
        <v>123</v>
      </c>
      <c r="B150" s="5" t="s">
        <v>733</v>
      </c>
      <c r="C150" s="5" t="s">
        <v>244</v>
      </c>
      <c r="D150" s="5" t="s">
        <v>1768</v>
      </c>
      <c r="E150" s="5"/>
    </row>
    <row r="151" customFormat="false" ht="15" hidden="false" customHeight="false" outlineLevel="0" collapsed="false">
      <c r="A151" s="5" t="s">
        <v>123</v>
      </c>
      <c r="B151" s="5" t="s">
        <v>187</v>
      </c>
      <c r="C151" s="5" t="s">
        <v>244</v>
      </c>
      <c r="D151" s="5" t="s">
        <v>1768</v>
      </c>
      <c r="E151" s="5"/>
    </row>
    <row r="152" customFormat="false" ht="15" hidden="false" customHeight="false" outlineLevel="0" collapsed="false">
      <c r="A152" s="5" t="s">
        <v>123</v>
      </c>
      <c r="B152" s="5" t="s">
        <v>188</v>
      </c>
      <c r="C152" s="5" t="s">
        <v>244</v>
      </c>
      <c r="D152" s="5" t="s">
        <v>1768</v>
      </c>
      <c r="E152" s="5"/>
    </row>
    <row r="153" customFormat="false" ht="15" hidden="false" customHeight="false" outlineLevel="0" collapsed="false">
      <c r="A153" s="5" t="s">
        <v>123</v>
      </c>
      <c r="B153" s="5" t="s">
        <v>189</v>
      </c>
      <c r="C153" s="5" t="s">
        <v>244</v>
      </c>
      <c r="D153" s="5" t="s">
        <v>1768</v>
      </c>
      <c r="E153" s="5"/>
    </row>
    <row r="154" customFormat="false" ht="15" hidden="false" customHeight="false" outlineLevel="0" collapsed="false">
      <c r="A154" s="5" t="s">
        <v>123</v>
      </c>
      <c r="B154" s="5" t="s">
        <v>130</v>
      </c>
      <c r="C154" s="5" t="s">
        <v>244</v>
      </c>
      <c r="D154" s="5" t="s">
        <v>1768</v>
      </c>
      <c r="E154" s="5" t="s">
        <v>2373</v>
      </c>
    </row>
    <row r="155" customFormat="false" ht="15" hidden="false" customHeight="false" outlineLevel="0" collapsed="false">
      <c r="A155" s="5" t="s">
        <v>123</v>
      </c>
      <c r="B155" s="5" t="s">
        <v>190</v>
      </c>
      <c r="C155" s="5" t="s">
        <v>244</v>
      </c>
      <c r="D155" s="5" t="s">
        <v>1768</v>
      </c>
      <c r="E155" s="5" t="s">
        <v>2374</v>
      </c>
    </row>
    <row r="156" customFormat="false" ht="15" hidden="false" customHeight="false" outlineLevel="0" collapsed="false">
      <c r="A156" s="5" t="s">
        <v>123</v>
      </c>
      <c r="B156" s="5" t="s">
        <v>191</v>
      </c>
      <c r="C156" s="5" t="s">
        <v>244</v>
      </c>
      <c r="D156" s="5" t="s">
        <v>1768</v>
      </c>
      <c r="E156" s="5" t="s">
        <v>2375</v>
      </c>
    </row>
    <row r="157" customFormat="false" ht="15" hidden="false" customHeight="false" outlineLevel="0" collapsed="false">
      <c r="A157" s="5" t="s">
        <v>123</v>
      </c>
      <c r="B157" s="5" t="s">
        <v>192</v>
      </c>
      <c r="C157" s="5" t="s">
        <v>244</v>
      </c>
      <c r="D157" s="5" t="s">
        <v>1768</v>
      </c>
      <c r="E157" s="5" t="s">
        <v>2376</v>
      </c>
    </row>
    <row r="158" customFormat="false" ht="15" hidden="false" customHeight="false" outlineLevel="0" collapsed="false">
      <c r="A158" s="5" t="s">
        <v>123</v>
      </c>
      <c r="B158" s="5" t="s">
        <v>193</v>
      </c>
      <c r="C158" s="5" t="s">
        <v>244</v>
      </c>
      <c r="D158" s="5" t="s">
        <v>1768</v>
      </c>
      <c r="E158" s="5" t="s">
        <v>2377</v>
      </c>
    </row>
    <row r="159" customFormat="false" ht="15" hidden="false" customHeight="false" outlineLevel="0" collapsed="false">
      <c r="A159" s="5" t="s">
        <v>123</v>
      </c>
      <c r="B159" s="5" t="s">
        <v>194</v>
      </c>
      <c r="C159" s="5" t="s">
        <v>244</v>
      </c>
      <c r="D159" s="5" t="s">
        <v>1768</v>
      </c>
      <c r="E159" s="5"/>
    </row>
    <row r="160" customFormat="false" ht="15" hidden="false" customHeight="false" outlineLevel="0" collapsed="false">
      <c r="A160" s="5" t="s">
        <v>123</v>
      </c>
      <c r="B160" s="5" t="s">
        <v>195</v>
      </c>
      <c r="C160" s="5" t="s">
        <v>244</v>
      </c>
      <c r="D160" s="5" t="s">
        <v>1768</v>
      </c>
      <c r="E160" s="5"/>
    </row>
    <row r="161" customFormat="false" ht="15" hidden="false" customHeight="false" outlineLevel="0" collapsed="false">
      <c r="A161" s="5" t="s">
        <v>123</v>
      </c>
      <c r="B161" s="5" t="s">
        <v>196</v>
      </c>
      <c r="C161" s="5" t="s">
        <v>244</v>
      </c>
      <c r="D161" s="5" t="s">
        <v>1768</v>
      </c>
      <c r="E161" s="5" t="s">
        <v>2378</v>
      </c>
    </row>
    <row r="162" customFormat="false" ht="15" hidden="false" customHeight="false" outlineLevel="0" collapsed="false">
      <c r="A162" s="5" t="s">
        <v>123</v>
      </c>
      <c r="B162" s="5" t="s">
        <v>199</v>
      </c>
      <c r="C162" s="5" t="s">
        <v>244</v>
      </c>
      <c r="D162" s="5" t="s">
        <v>1768</v>
      </c>
      <c r="E162" s="5"/>
    </row>
    <row r="163" customFormat="false" ht="15" hidden="false" customHeight="false" outlineLevel="0" collapsed="false">
      <c r="A163" s="5" t="s">
        <v>61</v>
      </c>
      <c r="B163" s="5" t="s">
        <v>420</v>
      </c>
      <c r="C163" s="5" t="s">
        <v>244</v>
      </c>
      <c r="D163" s="5" t="s">
        <v>1768</v>
      </c>
      <c r="E163" s="5" t="s">
        <v>2379</v>
      </c>
    </row>
    <row r="164" customFormat="false" ht="15" hidden="false" customHeight="false" outlineLevel="0" collapsed="false">
      <c r="A164" s="5" t="s">
        <v>61</v>
      </c>
      <c r="B164" s="5" t="s">
        <v>1543</v>
      </c>
      <c r="C164" s="5" t="s">
        <v>244</v>
      </c>
      <c r="D164" s="5" t="s">
        <v>1768</v>
      </c>
      <c r="E164" s="5"/>
    </row>
    <row r="165" customFormat="false" ht="15" hidden="false" customHeight="false" outlineLevel="0" collapsed="false">
      <c r="A165" s="5" t="s">
        <v>61</v>
      </c>
      <c r="B165" s="5" t="s">
        <v>2380</v>
      </c>
      <c r="C165" s="5" t="s">
        <v>244</v>
      </c>
      <c r="D165" s="5" t="s">
        <v>1768</v>
      </c>
      <c r="E165" s="5" t="s">
        <v>2381</v>
      </c>
    </row>
    <row r="166" customFormat="false" ht="15" hidden="false" customHeight="false" outlineLevel="0" collapsed="false">
      <c r="A166" s="5" t="s">
        <v>61</v>
      </c>
      <c r="B166" s="5" t="s">
        <v>204</v>
      </c>
      <c r="C166" s="5" t="s">
        <v>244</v>
      </c>
      <c r="D166" s="5" t="s">
        <v>1768</v>
      </c>
      <c r="E166" s="5" t="s">
        <v>2382</v>
      </c>
    </row>
    <row r="167" customFormat="false" ht="15" hidden="false" customHeight="false" outlineLevel="0" collapsed="false">
      <c r="A167" s="5" t="s">
        <v>61</v>
      </c>
      <c r="B167" s="5" t="s">
        <v>71</v>
      </c>
      <c r="C167" s="5" t="s">
        <v>244</v>
      </c>
      <c r="D167" s="5" t="s">
        <v>1768</v>
      </c>
      <c r="E167" s="5" t="s">
        <v>2383</v>
      </c>
    </row>
    <row r="168" customFormat="false" ht="15" hidden="false" customHeight="false" outlineLevel="0" collapsed="false">
      <c r="A168" s="5" t="s">
        <v>61</v>
      </c>
      <c r="B168" s="5" t="s">
        <v>1553</v>
      </c>
      <c r="C168" s="5" t="s">
        <v>244</v>
      </c>
      <c r="D168" s="5" t="s">
        <v>1768</v>
      </c>
      <c r="E168" s="5"/>
    </row>
    <row r="169" customFormat="false" ht="15" hidden="false" customHeight="false" outlineLevel="0" collapsed="false">
      <c r="A169" s="5" t="s">
        <v>61</v>
      </c>
      <c r="B169" s="5" t="s">
        <v>1554</v>
      </c>
      <c r="C169" s="5" t="s">
        <v>244</v>
      </c>
      <c r="D169" s="5" t="s">
        <v>1768</v>
      </c>
      <c r="E169" s="5"/>
    </row>
    <row r="170" customFormat="false" ht="15" hidden="false" customHeight="false" outlineLevel="0" collapsed="false">
      <c r="A170" s="5" t="s">
        <v>61</v>
      </c>
      <c r="B170" s="5" t="s">
        <v>199</v>
      </c>
      <c r="C170" s="5" t="s">
        <v>244</v>
      </c>
      <c r="D170" s="5" t="s">
        <v>1768</v>
      </c>
      <c r="E170" s="5"/>
    </row>
    <row r="171" customFormat="false" ht="15" hidden="false" customHeight="false" outlineLevel="0" collapsed="false">
      <c r="A171" s="5" t="s">
        <v>113</v>
      </c>
      <c r="B171" s="5" t="s">
        <v>1543</v>
      </c>
      <c r="C171" s="5" t="s">
        <v>244</v>
      </c>
      <c r="D171" s="5" t="s">
        <v>1768</v>
      </c>
      <c r="E171" s="5" t="s">
        <v>2384</v>
      </c>
    </row>
    <row r="172" customFormat="false" ht="15" hidden="false" customHeight="false" outlineLevel="0" collapsed="false">
      <c r="A172" s="5" t="s">
        <v>113</v>
      </c>
      <c r="B172" s="5" t="s">
        <v>234</v>
      </c>
      <c r="C172" s="5" t="s">
        <v>244</v>
      </c>
      <c r="D172" s="5" t="s">
        <v>1768</v>
      </c>
      <c r="E172" s="5" t="s">
        <v>2385</v>
      </c>
    </row>
    <row r="173" customFormat="false" ht="15" hidden="false" customHeight="false" outlineLevel="0" collapsed="false">
      <c r="A173" s="5" t="s">
        <v>113</v>
      </c>
      <c r="B173" s="5" t="s">
        <v>1544</v>
      </c>
      <c r="C173" s="5" t="s">
        <v>244</v>
      </c>
      <c r="D173" s="5" t="s">
        <v>1768</v>
      </c>
      <c r="E173" s="5"/>
    </row>
    <row r="174" customFormat="false" ht="15" hidden="false" customHeight="false" outlineLevel="0" collapsed="false">
      <c r="A174" s="5" t="s">
        <v>113</v>
      </c>
      <c r="B174" s="5" t="s">
        <v>1545</v>
      </c>
      <c r="C174" s="5" t="s">
        <v>244</v>
      </c>
      <c r="D174" s="5" t="s">
        <v>1768</v>
      </c>
      <c r="E174" s="5"/>
    </row>
    <row r="175" customFormat="false" ht="15" hidden="false" customHeight="false" outlineLevel="0" collapsed="false">
      <c r="A175" s="5" t="s">
        <v>113</v>
      </c>
      <c r="B175" s="5" t="s">
        <v>1546</v>
      </c>
      <c r="C175" s="5" t="s">
        <v>244</v>
      </c>
      <c r="D175" s="5" t="s">
        <v>1768</v>
      </c>
      <c r="E175" s="5"/>
    </row>
    <row r="176" customFormat="false" ht="15" hidden="false" customHeight="false" outlineLevel="0" collapsed="false">
      <c r="A176" s="5" t="s">
        <v>113</v>
      </c>
      <c r="B176" s="5" t="s">
        <v>1547</v>
      </c>
      <c r="C176" s="5" t="s">
        <v>244</v>
      </c>
      <c r="D176" s="5" t="s">
        <v>1768</v>
      </c>
      <c r="E176" s="5"/>
    </row>
    <row r="177" customFormat="false" ht="15" hidden="false" customHeight="false" outlineLevel="0" collapsed="false">
      <c r="A177" s="5" t="s">
        <v>113</v>
      </c>
      <c r="B177" s="5" t="s">
        <v>1548</v>
      </c>
      <c r="C177" s="5" t="s">
        <v>244</v>
      </c>
      <c r="D177" s="5" t="s">
        <v>1768</v>
      </c>
      <c r="E177" s="5"/>
    </row>
    <row r="178" customFormat="false" ht="15" hidden="false" customHeight="false" outlineLevel="0" collapsed="false">
      <c r="A178" s="5" t="s">
        <v>113</v>
      </c>
      <c r="B178" s="5" t="s">
        <v>432</v>
      </c>
      <c r="C178" s="5" t="s">
        <v>244</v>
      </c>
      <c r="D178" s="5" t="s">
        <v>1768</v>
      </c>
      <c r="E178" s="5"/>
    </row>
    <row r="179" customFormat="false" ht="15" hidden="false" customHeight="false" outlineLevel="0" collapsed="false">
      <c r="A179" s="5" t="s">
        <v>113</v>
      </c>
      <c r="B179" s="5" t="s">
        <v>401</v>
      </c>
      <c r="C179" s="5" t="s">
        <v>244</v>
      </c>
      <c r="D179" s="5" t="s">
        <v>1768</v>
      </c>
      <c r="E179" s="5"/>
    </row>
    <row r="180" customFormat="false" ht="15" hidden="false" customHeight="false" outlineLevel="0" collapsed="false">
      <c r="A180" s="5" t="s">
        <v>113</v>
      </c>
      <c r="B180" s="5" t="s">
        <v>1549</v>
      </c>
      <c r="C180" s="5" t="s">
        <v>244</v>
      </c>
      <c r="D180" s="5" t="s">
        <v>1768</v>
      </c>
      <c r="E180" s="5"/>
    </row>
    <row r="181" customFormat="false" ht="15" hidden="false" customHeight="false" outlineLevel="0" collapsed="false">
      <c r="A181" s="5" t="s">
        <v>113</v>
      </c>
      <c r="B181" s="5" t="s">
        <v>420</v>
      </c>
      <c r="C181" s="5" t="s">
        <v>244</v>
      </c>
      <c r="D181" s="5" t="s">
        <v>1768</v>
      </c>
      <c r="E181" s="5"/>
    </row>
    <row r="182" customFormat="false" ht="15" hidden="false" customHeight="false" outlineLevel="0" collapsed="false">
      <c r="A182" s="5" t="s">
        <v>113</v>
      </c>
      <c r="B182" s="5" t="s">
        <v>424</v>
      </c>
      <c r="C182" s="5" t="s">
        <v>244</v>
      </c>
      <c r="D182" s="5" t="s">
        <v>1768</v>
      </c>
      <c r="E182" s="5"/>
    </row>
    <row r="183" customFormat="false" ht="15" hidden="false" customHeight="false" outlineLevel="0" collapsed="false">
      <c r="A183" s="5" t="s">
        <v>113</v>
      </c>
      <c r="B183" s="5" t="s">
        <v>382</v>
      </c>
      <c r="C183" s="5" t="s">
        <v>244</v>
      </c>
      <c r="D183" s="5" t="s">
        <v>1768</v>
      </c>
      <c r="E183" s="5"/>
    </row>
    <row r="184" customFormat="false" ht="15" hidden="false" customHeight="false" outlineLevel="0" collapsed="false">
      <c r="A184" s="5" t="s">
        <v>113</v>
      </c>
      <c r="B184" s="5" t="s">
        <v>1550</v>
      </c>
      <c r="C184" s="5" t="s">
        <v>244</v>
      </c>
      <c r="D184" s="5" t="s">
        <v>1768</v>
      </c>
      <c r="E184" s="5" t="s">
        <v>2386</v>
      </c>
    </row>
    <row r="185" customFormat="false" ht="15" hidden="false" customHeight="false" outlineLevel="0" collapsed="false">
      <c r="A185" s="5" t="s">
        <v>113</v>
      </c>
      <c r="B185" s="5" t="s">
        <v>121</v>
      </c>
      <c r="C185" s="5" t="s">
        <v>244</v>
      </c>
      <c r="D185" s="5" t="s">
        <v>1768</v>
      </c>
      <c r="E185" s="5" t="s">
        <v>2387</v>
      </c>
    </row>
    <row r="186" customFormat="false" ht="15" hidden="false" customHeight="false" outlineLevel="0" collapsed="false">
      <c r="A186" s="5" t="s">
        <v>113</v>
      </c>
      <c r="B186" s="5" t="s">
        <v>1551</v>
      </c>
      <c r="C186" s="5" t="s">
        <v>244</v>
      </c>
      <c r="D186" s="5" t="s">
        <v>1768</v>
      </c>
      <c r="E186" s="5"/>
    </row>
    <row r="187" customFormat="false" ht="15" hidden="false" customHeight="false" outlineLevel="0" collapsed="false">
      <c r="A187" s="5" t="s">
        <v>113</v>
      </c>
      <c r="B187" s="5" t="s">
        <v>1552</v>
      </c>
      <c r="C187" s="5" t="s">
        <v>244</v>
      </c>
      <c r="D187" s="5" t="s">
        <v>1768</v>
      </c>
      <c r="E187" s="5"/>
    </row>
    <row r="188" customFormat="false" ht="15" hidden="false" customHeight="false" outlineLevel="0" collapsed="false">
      <c r="A188" s="5" t="s">
        <v>113</v>
      </c>
      <c r="B188" s="5" t="s">
        <v>1553</v>
      </c>
      <c r="C188" s="5" t="s">
        <v>244</v>
      </c>
      <c r="D188" s="5" t="s">
        <v>1768</v>
      </c>
      <c r="E188" s="5"/>
    </row>
    <row r="189" customFormat="false" ht="15" hidden="false" customHeight="false" outlineLevel="0" collapsed="false">
      <c r="A189" s="5" t="s">
        <v>113</v>
      </c>
      <c r="B189" s="5" t="s">
        <v>1554</v>
      </c>
      <c r="C189" s="5" t="s">
        <v>244</v>
      </c>
      <c r="D189" s="5" t="s">
        <v>1768</v>
      </c>
      <c r="E189" s="5"/>
    </row>
    <row r="190" customFormat="false" ht="15" hidden="false" customHeight="false" outlineLevel="0" collapsed="false">
      <c r="A190" s="5" t="s">
        <v>113</v>
      </c>
      <c r="B190" s="5" t="s">
        <v>199</v>
      </c>
      <c r="C190" s="5" t="s">
        <v>244</v>
      </c>
      <c r="D190" s="5" t="s">
        <v>1768</v>
      </c>
      <c r="E190" s="5"/>
    </row>
    <row r="191" customFormat="false" ht="15" hidden="false" customHeight="false" outlineLevel="0" collapsed="false">
      <c r="A191" s="5" t="s">
        <v>113</v>
      </c>
      <c r="B191" s="5" t="s">
        <v>1512</v>
      </c>
      <c r="C191" s="5" t="s">
        <v>244</v>
      </c>
      <c r="D191" s="5" t="s">
        <v>1768</v>
      </c>
      <c r="E191" s="5" t="s">
        <v>2388</v>
      </c>
    </row>
    <row r="192" customFormat="false" ht="15" hidden="false" customHeight="false" outlineLevel="0" collapsed="false">
      <c r="A192" s="5" t="s">
        <v>2389</v>
      </c>
      <c r="B192" s="5" t="s">
        <v>2390</v>
      </c>
      <c r="C192" s="5" t="s">
        <v>2300</v>
      </c>
      <c r="D192" s="5" t="s">
        <v>228</v>
      </c>
      <c r="E192" s="5"/>
    </row>
    <row r="193" customFormat="false" ht="15" hidden="false" customHeight="false" outlineLevel="0" collapsed="false">
      <c r="A193" s="5" t="s">
        <v>2389</v>
      </c>
      <c r="B193" s="5" t="s">
        <v>2391</v>
      </c>
      <c r="C193" s="5" t="s">
        <v>370</v>
      </c>
      <c r="D193" s="5" t="s">
        <v>228</v>
      </c>
      <c r="E193" s="5"/>
    </row>
    <row r="194" customFormat="false" ht="15" hidden="false" customHeight="false" outlineLevel="0" collapsed="false">
      <c r="A194" s="5" t="s">
        <v>2389</v>
      </c>
      <c r="B194" s="5" t="s">
        <v>2293</v>
      </c>
      <c r="C194" s="5" t="s">
        <v>244</v>
      </c>
      <c r="D194" s="5" t="s">
        <v>228</v>
      </c>
      <c r="E194" s="5" t="s">
        <v>2392</v>
      </c>
    </row>
    <row r="195" customFormat="false" ht="23.85" hidden="false" customHeight="false" outlineLevel="0" collapsed="false">
      <c r="A195" s="5" t="s">
        <v>2389</v>
      </c>
      <c r="B195" s="5" t="s">
        <v>2393</v>
      </c>
      <c r="C195" s="5" t="s">
        <v>244</v>
      </c>
      <c r="D195" s="5" t="s">
        <v>212</v>
      </c>
      <c r="E195" s="5" t="s">
        <v>2394</v>
      </c>
    </row>
    <row r="196" customFormat="false" ht="15" hidden="false" customHeight="false" outlineLevel="0" collapsed="false">
      <c r="A196" s="5" t="s">
        <v>2389</v>
      </c>
      <c r="B196" s="5" t="s">
        <v>2395</v>
      </c>
      <c r="C196" s="5" t="s">
        <v>244</v>
      </c>
      <c r="D196" s="5" t="s">
        <v>228</v>
      </c>
      <c r="E196" s="5"/>
    </row>
  </sheetData>
  <autoFilter ref="A1:E19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20"/>
    <col collapsed="false" customWidth="true" hidden="false" outlineLevel="0" max="4" min="4" style="0" width="12"/>
    <col collapsed="false" customWidth="true" hidden="false" outlineLevel="0" max="5" min="5" style="0" width="44"/>
    <col collapsed="false" customWidth="true" hidden="false" outlineLevel="0" max="7" min="6" style="0" width="50"/>
  </cols>
  <sheetData>
    <row r="1" customFormat="false" ht="30" hidden="false" customHeight="true" outlineLevel="0" collapsed="false">
      <c r="A1" s="4" t="s">
        <v>2396</v>
      </c>
      <c r="B1" s="4" t="s">
        <v>2397</v>
      </c>
      <c r="C1" s="4" t="s">
        <v>19</v>
      </c>
      <c r="D1" s="4" t="s">
        <v>1</v>
      </c>
      <c r="E1" s="4" t="s">
        <v>2398</v>
      </c>
      <c r="F1" s="4" t="s">
        <v>2399</v>
      </c>
      <c r="G1" s="4" t="s">
        <v>7</v>
      </c>
    </row>
    <row r="2" customFormat="false" ht="15" hidden="false" customHeight="false" outlineLevel="0" collapsed="false">
      <c r="A2" s="5" t="s">
        <v>2226</v>
      </c>
      <c r="B2" s="5" t="s">
        <v>2400</v>
      </c>
      <c r="C2" s="5" t="s">
        <v>2158</v>
      </c>
      <c r="D2" s="5" t="s">
        <v>212</v>
      </c>
      <c r="E2" s="5" t="s">
        <v>637</v>
      </c>
      <c r="F2" s="5" t="s">
        <v>2401</v>
      </c>
      <c r="G2" s="5" t="s">
        <v>2402</v>
      </c>
    </row>
    <row r="3" customFormat="false" ht="46.25" hidden="false" customHeight="false" outlineLevel="0" collapsed="false">
      <c r="A3" s="5" t="s">
        <v>2229</v>
      </c>
      <c r="B3" s="5" t="s">
        <v>2400</v>
      </c>
      <c r="C3" s="5" t="s">
        <v>2403</v>
      </c>
      <c r="D3" s="5" t="s">
        <v>212</v>
      </c>
      <c r="E3" s="5" t="s">
        <v>2404</v>
      </c>
      <c r="F3" s="5" t="s">
        <v>2405</v>
      </c>
      <c r="G3" s="5" t="s">
        <v>2406</v>
      </c>
    </row>
    <row r="4" customFormat="false" ht="35.05" hidden="false" customHeight="false" outlineLevel="0" collapsed="false">
      <c r="A4" s="5" t="s">
        <v>2233</v>
      </c>
      <c r="B4" s="5" t="s">
        <v>2400</v>
      </c>
      <c r="C4" s="5" t="s">
        <v>2407</v>
      </c>
      <c r="D4" s="5" t="s">
        <v>212</v>
      </c>
      <c r="E4" s="5" t="s">
        <v>2408</v>
      </c>
      <c r="F4" s="5" t="s">
        <v>2409</v>
      </c>
      <c r="G4" s="5" t="s">
        <v>2410</v>
      </c>
    </row>
    <row r="5" customFormat="false" ht="15" hidden="false" customHeight="false" outlineLevel="0" collapsed="false">
      <c r="A5" s="5" t="s">
        <v>2237</v>
      </c>
      <c r="B5" s="5" t="s">
        <v>2400</v>
      </c>
      <c r="C5" s="5" t="s">
        <v>2407</v>
      </c>
      <c r="D5" s="5" t="s">
        <v>277</v>
      </c>
      <c r="E5" s="5" t="s">
        <v>2411</v>
      </c>
      <c r="F5" s="5" t="s">
        <v>2412</v>
      </c>
      <c r="G5" s="5"/>
    </row>
    <row r="6" customFormat="false" ht="23.85" hidden="false" customHeight="false" outlineLevel="0" collapsed="false">
      <c r="A6" s="5" t="s">
        <v>2104</v>
      </c>
      <c r="B6" s="5" t="s">
        <v>2400</v>
      </c>
      <c r="C6" s="5" t="s">
        <v>2413</v>
      </c>
      <c r="D6" s="5" t="s">
        <v>212</v>
      </c>
      <c r="E6" s="5" t="s">
        <v>2414</v>
      </c>
      <c r="F6" s="5" t="s">
        <v>2415</v>
      </c>
      <c r="G6" s="5" t="s">
        <v>2416</v>
      </c>
    </row>
    <row r="7" customFormat="false" ht="23.85" hidden="false" customHeight="false" outlineLevel="0" collapsed="false">
      <c r="A7" s="5" t="s">
        <v>2243</v>
      </c>
      <c r="B7" s="5" t="s">
        <v>2400</v>
      </c>
      <c r="C7" s="5" t="s">
        <v>2413</v>
      </c>
      <c r="D7" s="5" t="s">
        <v>212</v>
      </c>
      <c r="E7" s="5" t="s">
        <v>2417</v>
      </c>
      <c r="F7" s="5" t="s">
        <v>2418</v>
      </c>
      <c r="G7" s="5" t="s">
        <v>2419</v>
      </c>
    </row>
    <row r="8" customFormat="false" ht="15" hidden="false" customHeight="false" outlineLevel="0" collapsed="false">
      <c r="A8" s="5" t="s">
        <v>2245</v>
      </c>
      <c r="B8" s="5" t="s">
        <v>2400</v>
      </c>
      <c r="C8" s="5" t="s">
        <v>2413</v>
      </c>
      <c r="D8" s="5" t="s">
        <v>212</v>
      </c>
      <c r="E8" s="5" t="s">
        <v>2420</v>
      </c>
      <c r="F8" s="5" t="s">
        <v>2421</v>
      </c>
      <c r="G8" s="5" t="s">
        <v>2422</v>
      </c>
    </row>
    <row r="9" customFormat="false" ht="15" hidden="false" customHeight="false" outlineLevel="0" collapsed="false">
      <c r="A9" s="5" t="s">
        <v>2246</v>
      </c>
      <c r="B9" s="5" t="s">
        <v>2400</v>
      </c>
      <c r="C9" s="5" t="s">
        <v>2413</v>
      </c>
      <c r="D9" s="5" t="s">
        <v>228</v>
      </c>
      <c r="E9" s="5" t="s">
        <v>2423</v>
      </c>
      <c r="F9" s="5" t="s">
        <v>2424</v>
      </c>
      <c r="G9" s="5"/>
    </row>
    <row r="10" customFormat="false" ht="35.05" hidden="false" customHeight="false" outlineLevel="0" collapsed="false">
      <c r="A10" s="5" t="s">
        <v>2247</v>
      </c>
      <c r="B10" s="5" t="s">
        <v>2400</v>
      </c>
      <c r="C10" s="5" t="s">
        <v>2413</v>
      </c>
      <c r="D10" s="5" t="s">
        <v>212</v>
      </c>
      <c r="E10" s="5" t="s">
        <v>2425</v>
      </c>
      <c r="F10" s="5" t="s">
        <v>2426</v>
      </c>
      <c r="G10" s="5" t="s">
        <v>2427</v>
      </c>
    </row>
    <row r="11" customFormat="false" ht="23.85" hidden="false" customHeight="false" outlineLevel="0" collapsed="false">
      <c r="A11" s="5" t="s">
        <v>2251</v>
      </c>
      <c r="B11" s="5" t="s">
        <v>2400</v>
      </c>
      <c r="C11" s="5" t="s">
        <v>2413</v>
      </c>
      <c r="D11" s="5" t="s">
        <v>212</v>
      </c>
      <c r="E11" s="5" t="s">
        <v>2428</v>
      </c>
      <c r="F11" s="5" t="s">
        <v>2429</v>
      </c>
      <c r="G11" s="5" t="s">
        <v>2430</v>
      </c>
    </row>
    <row r="12" customFormat="false" ht="15" hidden="false" customHeight="false" outlineLevel="0" collapsed="false">
      <c r="A12" s="5" t="s">
        <v>2117</v>
      </c>
      <c r="B12" s="5" t="s">
        <v>2400</v>
      </c>
      <c r="C12" s="5" t="s">
        <v>2413</v>
      </c>
      <c r="D12" s="5" t="s">
        <v>277</v>
      </c>
      <c r="E12" s="5" t="s">
        <v>2411</v>
      </c>
      <c r="F12" s="5" t="s">
        <v>2431</v>
      </c>
      <c r="G12" s="5"/>
    </row>
    <row r="13" customFormat="false" ht="23.85" hidden="false" customHeight="false" outlineLevel="0" collapsed="false">
      <c r="A13" s="5" t="s">
        <v>2253</v>
      </c>
      <c r="B13" s="5" t="s">
        <v>2400</v>
      </c>
      <c r="C13" s="5" t="s">
        <v>2432</v>
      </c>
      <c r="D13" s="5" t="s">
        <v>277</v>
      </c>
      <c r="E13" s="5" t="s">
        <v>2433</v>
      </c>
      <c r="F13" s="5" t="s">
        <v>2424</v>
      </c>
      <c r="G13" s="5" t="s">
        <v>2434</v>
      </c>
    </row>
    <row r="14" customFormat="false" ht="15" hidden="false" customHeight="false" outlineLevel="0" collapsed="false">
      <c r="A14" s="5" t="s">
        <v>2259</v>
      </c>
      <c r="B14" s="5" t="s">
        <v>2400</v>
      </c>
      <c r="C14" s="5" t="s">
        <v>2432</v>
      </c>
      <c r="D14" s="5" t="s">
        <v>277</v>
      </c>
      <c r="E14" s="5" t="s">
        <v>2435</v>
      </c>
      <c r="F14" s="5" t="s">
        <v>2424</v>
      </c>
      <c r="G14" s="5" t="s">
        <v>2436</v>
      </c>
    </row>
    <row r="15" customFormat="false" ht="15" hidden="false" customHeight="false" outlineLevel="0" collapsed="false">
      <c r="A15" s="5" t="s">
        <v>2132</v>
      </c>
      <c r="B15" s="5" t="s">
        <v>2400</v>
      </c>
      <c r="C15" s="5" t="s">
        <v>2432</v>
      </c>
      <c r="D15" s="5" t="s">
        <v>212</v>
      </c>
      <c r="E15" s="5" t="s">
        <v>2437</v>
      </c>
      <c r="F15" s="5" t="s">
        <v>2438</v>
      </c>
      <c r="G15" s="5" t="s">
        <v>2439</v>
      </c>
    </row>
    <row r="16" customFormat="false" ht="15" hidden="false" customHeight="false" outlineLevel="0" collapsed="false">
      <c r="A16" s="5" t="s">
        <v>2160</v>
      </c>
      <c r="B16" s="5" t="s">
        <v>2400</v>
      </c>
      <c r="C16" s="5" t="s">
        <v>2403</v>
      </c>
      <c r="D16" s="5" t="s">
        <v>277</v>
      </c>
      <c r="E16" s="5" t="s">
        <v>637</v>
      </c>
      <c r="F16" s="5" t="s">
        <v>2440</v>
      </c>
      <c r="G16" s="5"/>
    </row>
    <row r="17" customFormat="false" ht="15" hidden="false" customHeight="false" outlineLevel="0" collapsed="false">
      <c r="A17" s="5" t="s">
        <v>2441</v>
      </c>
      <c r="B17" s="5" t="s">
        <v>2400</v>
      </c>
      <c r="C17" s="5" t="s">
        <v>1505</v>
      </c>
      <c r="D17" s="5" t="s">
        <v>212</v>
      </c>
      <c r="E17" s="5" t="s">
        <v>2442</v>
      </c>
      <c r="F17" s="5" t="s">
        <v>2443</v>
      </c>
      <c r="G17" s="5" t="s">
        <v>2444</v>
      </c>
    </row>
    <row r="18" customFormat="false" ht="23.85" hidden="false" customHeight="false" outlineLevel="0" collapsed="false">
      <c r="A18" s="5" t="s">
        <v>2445</v>
      </c>
      <c r="B18" s="5" t="s">
        <v>2400</v>
      </c>
      <c r="C18" s="5" t="s">
        <v>1505</v>
      </c>
      <c r="D18" s="5" t="s">
        <v>212</v>
      </c>
      <c r="E18" s="5" t="s">
        <v>2446</v>
      </c>
      <c r="F18" s="5" t="s">
        <v>2447</v>
      </c>
      <c r="G18" s="5" t="s">
        <v>2448</v>
      </c>
    </row>
    <row r="19" customFormat="false" ht="15" hidden="false" customHeight="false" outlineLevel="0" collapsed="false">
      <c r="A19" s="5" t="s">
        <v>2449</v>
      </c>
      <c r="B19" s="5" t="s">
        <v>2400</v>
      </c>
      <c r="C19" s="5" t="s">
        <v>1505</v>
      </c>
      <c r="D19" s="5" t="s">
        <v>1768</v>
      </c>
      <c r="E19" s="5" t="s">
        <v>637</v>
      </c>
      <c r="F19" s="5" t="s">
        <v>2450</v>
      </c>
      <c r="G19" s="5" t="s">
        <v>2451</v>
      </c>
    </row>
    <row r="20" customFormat="false" ht="15" hidden="false" customHeight="false" outlineLevel="0" collapsed="false">
      <c r="A20" s="5" t="s">
        <v>2058</v>
      </c>
      <c r="B20" s="5" t="s">
        <v>2400</v>
      </c>
      <c r="C20" s="5" t="s">
        <v>1505</v>
      </c>
      <c r="D20" s="5" t="s">
        <v>1768</v>
      </c>
      <c r="E20" s="5" t="s">
        <v>2452</v>
      </c>
      <c r="F20" s="5" t="s">
        <v>2450</v>
      </c>
      <c r="G20" s="5" t="s">
        <v>2453</v>
      </c>
    </row>
    <row r="21" customFormat="false" ht="15" hidden="false" customHeight="false" outlineLevel="0" collapsed="false">
      <c r="A21" s="5" t="s">
        <v>2454</v>
      </c>
      <c r="B21" s="5" t="s">
        <v>2400</v>
      </c>
      <c r="C21" s="5" t="s">
        <v>1505</v>
      </c>
      <c r="D21" s="5" t="s">
        <v>1768</v>
      </c>
      <c r="E21" s="5" t="s">
        <v>637</v>
      </c>
      <c r="F21" s="5" t="s">
        <v>2455</v>
      </c>
      <c r="G21" s="5"/>
    </row>
    <row r="22" customFormat="false" ht="23.85" hidden="false" customHeight="false" outlineLevel="0" collapsed="false">
      <c r="A22" s="5" t="s">
        <v>2072</v>
      </c>
      <c r="B22" s="5" t="s">
        <v>2400</v>
      </c>
      <c r="C22" s="5" t="s">
        <v>1505</v>
      </c>
      <c r="D22" s="5" t="s">
        <v>1768</v>
      </c>
      <c r="E22" s="5" t="s">
        <v>2456</v>
      </c>
      <c r="F22" s="5" t="s">
        <v>2447</v>
      </c>
      <c r="G22" s="5" t="s">
        <v>2457</v>
      </c>
    </row>
    <row r="23" customFormat="false" ht="23.85" hidden="false" customHeight="false" outlineLevel="0" collapsed="false">
      <c r="A23" s="5" t="s">
        <v>2458</v>
      </c>
      <c r="B23" s="5" t="s">
        <v>2400</v>
      </c>
      <c r="C23" s="5" t="s">
        <v>1505</v>
      </c>
      <c r="D23" s="5" t="s">
        <v>1768</v>
      </c>
      <c r="E23" s="5" t="s">
        <v>637</v>
      </c>
      <c r="F23" s="5" t="s">
        <v>2459</v>
      </c>
      <c r="G23" s="5"/>
    </row>
    <row r="24" customFormat="false" ht="15" hidden="false" customHeight="false" outlineLevel="0" collapsed="false">
      <c r="A24" s="5" t="s">
        <v>2460</v>
      </c>
      <c r="B24" s="5" t="s">
        <v>2400</v>
      </c>
      <c r="C24" s="5" t="s">
        <v>1505</v>
      </c>
      <c r="D24" s="5" t="s">
        <v>1768</v>
      </c>
      <c r="E24" s="5" t="s">
        <v>2461</v>
      </c>
      <c r="F24" s="5" t="s">
        <v>2462</v>
      </c>
      <c r="G24" s="5" t="s">
        <v>2463</v>
      </c>
    </row>
    <row r="25" customFormat="false" ht="23.85" hidden="false" customHeight="false" outlineLevel="0" collapsed="false">
      <c r="A25" s="5" t="s">
        <v>2464</v>
      </c>
      <c r="B25" s="5" t="s">
        <v>2400</v>
      </c>
      <c r="C25" s="5" t="s">
        <v>1505</v>
      </c>
      <c r="D25" s="5" t="s">
        <v>1768</v>
      </c>
      <c r="E25" s="5" t="s">
        <v>2465</v>
      </c>
      <c r="F25" s="5" t="s">
        <v>2462</v>
      </c>
      <c r="G25" s="5" t="s">
        <v>2466</v>
      </c>
    </row>
    <row r="26" customFormat="false" ht="15" hidden="false" customHeight="false" outlineLevel="0" collapsed="false">
      <c r="A26" s="5" t="s">
        <v>2271</v>
      </c>
      <c r="B26" s="5" t="s">
        <v>2467</v>
      </c>
      <c r="C26" s="5" t="s">
        <v>2468</v>
      </c>
      <c r="D26" s="5" t="s">
        <v>1768</v>
      </c>
      <c r="E26" s="5" t="s">
        <v>637</v>
      </c>
      <c r="F26" s="5" t="s">
        <v>2469</v>
      </c>
      <c r="G26" s="5" t="s">
        <v>2470</v>
      </c>
    </row>
    <row r="27" customFormat="false" ht="15" hidden="false" customHeight="false" outlineLevel="0" collapsed="false">
      <c r="A27" s="5" t="s">
        <v>2471</v>
      </c>
      <c r="B27" s="5" t="s">
        <v>2472</v>
      </c>
      <c r="C27" s="5" t="s">
        <v>1505</v>
      </c>
      <c r="D27" s="5" t="s">
        <v>1768</v>
      </c>
      <c r="E27" s="5" t="s">
        <v>637</v>
      </c>
      <c r="F27" s="5" t="s">
        <v>637</v>
      </c>
      <c r="G27" s="5" t="s">
        <v>2473</v>
      </c>
    </row>
    <row r="28" customFormat="false" ht="23.85" hidden="false" customHeight="false" outlineLevel="0" collapsed="false">
      <c r="A28" s="5" t="s">
        <v>2279</v>
      </c>
      <c r="B28" s="5" t="s">
        <v>2467</v>
      </c>
      <c r="C28" s="5" t="s">
        <v>2281</v>
      </c>
      <c r="D28" s="5" t="s">
        <v>212</v>
      </c>
      <c r="E28" s="5" t="s">
        <v>2474</v>
      </c>
      <c r="F28" s="5" t="s">
        <v>637</v>
      </c>
      <c r="G28" s="5" t="s">
        <v>2475</v>
      </c>
    </row>
    <row r="29" customFormat="false" ht="23.85" hidden="false" customHeight="false" outlineLevel="0" collapsed="false">
      <c r="A29" s="5" t="s">
        <v>1556</v>
      </c>
      <c r="B29" s="5" t="s">
        <v>2472</v>
      </c>
      <c r="C29" s="5" t="s">
        <v>1505</v>
      </c>
      <c r="D29" s="5" t="s">
        <v>212</v>
      </c>
      <c r="E29" s="5" t="s">
        <v>637</v>
      </c>
      <c r="F29" s="5" t="s">
        <v>637</v>
      </c>
      <c r="G29" s="5" t="s">
        <v>2476</v>
      </c>
    </row>
    <row r="30" customFormat="false" ht="23.85" hidden="false" customHeight="false" outlineLevel="0" collapsed="false">
      <c r="A30" s="5" t="s">
        <v>2274</v>
      </c>
      <c r="B30" s="5" t="s">
        <v>2477</v>
      </c>
      <c r="C30" s="5" t="s">
        <v>1505</v>
      </c>
      <c r="D30" s="5" t="s">
        <v>212</v>
      </c>
      <c r="E30" s="5" t="s">
        <v>637</v>
      </c>
      <c r="F30" s="5" t="s">
        <v>637</v>
      </c>
      <c r="G30" s="5" t="s">
        <v>2478</v>
      </c>
    </row>
    <row r="31" customFormat="false" ht="23.85" hidden="false" customHeight="false" outlineLevel="0" collapsed="false">
      <c r="A31" s="5" t="s">
        <v>2276</v>
      </c>
      <c r="B31" s="5" t="s">
        <v>2477</v>
      </c>
      <c r="C31" s="5" t="s">
        <v>2479</v>
      </c>
      <c r="D31" s="5" t="s">
        <v>212</v>
      </c>
      <c r="E31" s="5" t="s">
        <v>637</v>
      </c>
      <c r="F31" s="5" t="s">
        <v>637</v>
      </c>
      <c r="G31" s="5" t="s">
        <v>2480</v>
      </c>
    </row>
    <row r="32" customFormat="false" ht="23.85" hidden="false" customHeight="false" outlineLevel="0" collapsed="false">
      <c r="A32" s="5" t="s">
        <v>2481</v>
      </c>
      <c r="B32" s="5" t="s">
        <v>2482</v>
      </c>
      <c r="C32" s="5" t="s">
        <v>169</v>
      </c>
      <c r="D32" s="5" t="s">
        <v>1768</v>
      </c>
      <c r="E32" s="5" t="s">
        <v>2483</v>
      </c>
      <c r="F32" s="5" t="s">
        <v>2484</v>
      </c>
      <c r="G32" s="5" t="s">
        <v>2485</v>
      </c>
    </row>
    <row r="33" customFormat="false" ht="23.85" hidden="false" customHeight="false" outlineLevel="0" collapsed="false">
      <c r="A33" s="5" t="s">
        <v>2486</v>
      </c>
      <c r="B33" s="5" t="s">
        <v>2482</v>
      </c>
      <c r="C33" s="5" t="s">
        <v>169</v>
      </c>
      <c r="D33" s="5" t="s">
        <v>1768</v>
      </c>
      <c r="E33" s="5" t="s">
        <v>370</v>
      </c>
      <c r="F33" s="5" t="s">
        <v>2487</v>
      </c>
      <c r="G33" s="5" t="s">
        <v>2488</v>
      </c>
    </row>
    <row r="34" customFormat="false" ht="23.85" hidden="false" customHeight="false" outlineLevel="0" collapsed="false">
      <c r="A34" s="5" t="s">
        <v>2489</v>
      </c>
      <c r="B34" s="5" t="s">
        <v>2482</v>
      </c>
      <c r="C34" s="5" t="s">
        <v>169</v>
      </c>
      <c r="D34" s="5" t="s">
        <v>1768</v>
      </c>
      <c r="E34" s="5" t="s">
        <v>2490</v>
      </c>
      <c r="F34" s="5" t="s">
        <v>2491</v>
      </c>
      <c r="G34" s="5" t="s">
        <v>2492</v>
      </c>
    </row>
    <row r="35" customFormat="false" ht="15" hidden="false" customHeight="false" outlineLevel="0" collapsed="false">
      <c r="A35" s="5" t="s">
        <v>2493</v>
      </c>
      <c r="B35" s="5" t="s">
        <v>2482</v>
      </c>
      <c r="C35" s="5" t="s">
        <v>169</v>
      </c>
      <c r="D35" s="5" t="s">
        <v>1768</v>
      </c>
      <c r="E35" s="5" t="s">
        <v>2494</v>
      </c>
      <c r="F35" s="5" t="s">
        <v>2495</v>
      </c>
      <c r="G35" s="5" t="s">
        <v>2496</v>
      </c>
    </row>
    <row r="36" customFormat="false" ht="35.05" hidden="false" customHeight="false" outlineLevel="0" collapsed="false">
      <c r="A36" s="5" t="s">
        <v>2497</v>
      </c>
      <c r="B36" s="5" t="s">
        <v>2482</v>
      </c>
      <c r="C36" s="5" t="s">
        <v>169</v>
      </c>
      <c r="D36" s="5" t="s">
        <v>1768</v>
      </c>
      <c r="E36" s="5" t="s">
        <v>2498</v>
      </c>
      <c r="F36" s="5" t="s">
        <v>2499</v>
      </c>
      <c r="G36" s="5" t="s">
        <v>2500</v>
      </c>
    </row>
    <row r="37" customFormat="false" ht="15" hidden="false" customHeight="false" outlineLevel="0" collapsed="false">
      <c r="A37" s="5" t="s">
        <v>2501</v>
      </c>
      <c r="B37" s="5" t="s">
        <v>2482</v>
      </c>
      <c r="C37" s="5" t="s">
        <v>169</v>
      </c>
      <c r="D37" s="5" t="s">
        <v>212</v>
      </c>
      <c r="E37" s="5" t="s">
        <v>2502</v>
      </c>
      <c r="F37" s="5" t="s">
        <v>637</v>
      </c>
      <c r="G37" s="5" t="s">
        <v>2503</v>
      </c>
    </row>
    <row r="38" customFormat="false" ht="23.85" hidden="false" customHeight="false" outlineLevel="0" collapsed="false">
      <c r="A38" s="5" t="s">
        <v>2504</v>
      </c>
      <c r="B38" s="5" t="s">
        <v>2482</v>
      </c>
      <c r="C38" s="5" t="s">
        <v>169</v>
      </c>
      <c r="D38" s="5" t="s">
        <v>212</v>
      </c>
      <c r="E38" s="5" t="s">
        <v>2461</v>
      </c>
      <c r="F38" s="5" t="s">
        <v>2505</v>
      </c>
      <c r="G38" s="5" t="s">
        <v>2506</v>
      </c>
    </row>
    <row r="39" customFormat="false" ht="35.05" hidden="false" customHeight="false" outlineLevel="0" collapsed="false">
      <c r="A39" s="5" t="s">
        <v>2507</v>
      </c>
      <c r="B39" s="5" t="s">
        <v>2482</v>
      </c>
      <c r="C39" s="5" t="s">
        <v>169</v>
      </c>
      <c r="D39" s="5" t="s">
        <v>1768</v>
      </c>
      <c r="E39" s="5" t="s">
        <v>169</v>
      </c>
      <c r="F39" s="5" t="s">
        <v>169</v>
      </c>
      <c r="G39" s="5" t="s">
        <v>2508</v>
      </c>
    </row>
    <row r="40" customFormat="false" ht="15" hidden="false" customHeight="false" outlineLevel="0" collapsed="false">
      <c r="A40" s="5" t="s">
        <v>2509</v>
      </c>
      <c r="B40" s="5" t="s">
        <v>2482</v>
      </c>
      <c r="C40" s="5" t="s">
        <v>169</v>
      </c>
      <c r="D40" s="5" t="s">
        <v>277</v>
      </c>
      <c r="E40" s="5" t="s">
        <v>2510</v>
      </c>
      <c r="F40" s="5" t="s">
        <v>2511</v>
      </c>
      <c r="G40" s="5" t="s">
        <v>2512</v>
      </c>
    </row>
    <row r="41" customFormat="false" ht="23.85" hidden="false" customHeight="false" outlineLevel="0" collapsed="false">
      <c r="A41" s="5" t="s">
        <v>2513</v>
      </c>
      <c r="B41" s="5" t="s">
        <v>2482</v>
      </c>
      <c r="C41" s="5" t="s">
        <v>169</v>
      </c>
      <c r="D41" s="5" t="s">
        <v>277</v>
      </c>
      <c r="E41" s="5" t="s">
        <v>169</v>
      </c>
      <c r="F41" s="5" t="s">
        <v>169</v>
      </c>
      <c r="G41" s="5" t="s">
        <v>2514</v>
      </c>
    </row>
  </sheetData>
  <autoFilter ref="A1:G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60"/>
    <col collapsed="false" customWidth="true" hidden="false" outlineLevel="0" max="4" min="4" style="0" width="11"/>
    <col collapsed="false" customWidth="true" hidden="false" outlineLevel="0" max="5" min="5" style="0" width="9"/>
    <col collapsed="false" customWidth="true" hidden="false" outlineLevel="0" max="6" min="6" style="0" width="70"/>
    <col collapsed="false" customWidth="true" hidden="false" outlineLevel="0" max="7" min="7" style="0" width="13"/>
  </cols>
  <sheetData>
    <row r="1" customFormat="false" ht="30" hidden="false" customHeight="true" outlineLevel="0" collapsed="false">
      <c r="A1" s="4" t="s">
        <v>752</v>
      </c>
      <c r="B1" s="4" t="s">
        <v>736</v>
      </c>
      <c r="C1" s="4" t="s">
        <v>2515</v>
      </c>
      <c r="D1" s="4" t="s">
        <v>1713</v>
      </c>
      <c r="E1" s="4" t="s">
        <v>2516</v>
      </c>
      <c r="F1" s="4" t="s">
        <v>1712</v>
      </c>
      <c r="G1" s="4" t="s">
        <v>1</v>
      </c>
    </row>
    <row r="2" customFormat="false" ht="15" hidden="false" customHeight="false" outlineLevel="0" collapsed="false">
      <c r="A2" s="5" t="s">
        <v>2517</v>
      </c>
      <c r="B2" s="5" t="s">
        <v>2518</v>
      </c>
      <c r="C2" s="5" t="s">
        <v>2519</v>
      </c>
      <c r="D2" s="5" t="s">
        <v>1717</v>
      </c>
      <c r="E2" s="5" t="s">
        <v>2520</v>
      </c>
      <c r="F2" s="5" t="s">
        <v>2521</v>
      </c>
      <c r="G2" s="5" t="s">
        <v>238</v>
      </c>
    </row>
    <row r="3" customFormat="false" ht="23.85" hidden="false" customHeight="false" outlineLevel="0" collapsed="false">
      <c r="A3" s="5" t="s">
        <v>2522</v>
      </c>
      <c r="B3" s="5" t="s">
        <v>2523</v>
      </c>
      <c r="C3" s="5" t="s">
        <v>2524</v>
      </c>
      <c r="D3" s="5" t="s">
        <v>1717</v>
      </c>
      <c r="E3" s="5" t="s">
        <v>2525</v>
      </c>
      <c r="F3" s="5" t="s">
        <v>2526</v>
      </c>
      <c r="G3" s="5" t="s">
        <v>238</v>
      </c>
    </row>
    <row r="4" customFormat="false" ht="15" hidden="false" customHeight="false" outlineLevel="0" collapsed="false">
      <c r="A4" s="5" t="s">
        <v>2527</v>
      </c>
      <c r="B4" s="5" t="s">
        <v>2528</v>
      </c>
      <c r="C4" s="5" t="s">
        <v>2529</v>
      </c>
      <c r="D4" s="5" t="s">
        <v>1717</v>
      </c>
      <c r="E4" s="5" t="s">
        <v>2525</v>
      </c>
      <c r="F4" s="5" t="s">
        <v>2530</v>
      </c>
      <c r="G4" s="5" t="s">
        <v>238</v>
      </c>
    </row>
    <row r="5" customFormat="false" ht="35.05" hidden="false" customHeight="false" outlineLevel="0" collapsed="false">
      <c r="A5" s="5" t="s">
        <v>2531</v>
      </c>
      <c r="B5" s="5" t="s">
        <v>2532</v>
      </c>
      <c r="C5" s="5" t="s">
        <v>2533</v>
      </c>
      <c r="D5" s="5" t="s">
        <v>1717</v>
      </c>
      <c r="E5" s="5" t="s">
        <v>2520</v>
      </c>
      <c r="F5" s="5" t="s">
        <v>2534</v>
      </c>
      <c r="G5" s="5" t="s">
        <v>238</v>
      </c>
    </row>
    <row r="6" customFormat="false" ht="15" hidden="false" customHeight="false" outlineLevel="0" collapsed="false">
      <c r="A6" s="5" t="s">
        <v>2535</v>
      </c>
      <c r="B6" s="5" t="s">
        <v>2536</v>
      </c>
      <c r="C6" s="5" t="s">
        <v>2537</v>
      </c>
      <c r="D6" s="5" t="s">
        <v>1717</v>
      </c>
      <c r="E6" s="5" t="s">
        <v>2525</v>
      </c>
      <c r="F6" s="5" t="s">
        <v>2538</v>
      </c>
      <c r="G6" s="5" t="s">
        <v>228</v>
      </c>
    </row>
    <row r="7" customFormat="false" ht="15" hidden="false" customHeight="false" outlineLevel="0" collapsed="false">
      <c r="A7" s="5" t="s">
        <v>2539</v>
      </c>
      <c r="B7" s="5" t="s">
        <v>2540</v>
      </c>
      <c r="C7" s="5" t="s">
        <v>2541</v>
      </c>
      <c r="D7" s="5" t="s">
        <v>1717</v>
      </c>
      <c r="E7" s="5" t="s">
        <v>2525</v>
      </c>
      <c r="F7" s="5" t="s">
        <v>2542</v>
      </c>
      <c r="G7" s="5" t="s">
        <v>238</v>
      </c>
    </row>
    <row r="8" customFormat="false" ht="23.85" hidden="false" customHeight="false" outlineLevel="0" collapsed="false">
      <c r="A8" s="5" t="s">
        <v>2543</v>
      </c>
      <c r="B8" s="5" t="s">
        <v>2544</v>
      </c>
      <c r="C8" s="5" t="s">
        <v>2545</v>
      </c>
      <c r="D8" s="5" t="s">
        <v>1717</v>
      </c>
      <c r="E8" s="5" t="s">
        <v>2520</v>
      </c>
      <c r="F8" s="5" t="s">
        <v>2546</v>
      </c>
      <c r="G8" s="5" t="s">
        <v>238</v>
      </c>
    </row>
    <row r="9" customFormat="false" ht="15" hidden="false" customHeight="false" outlineLevel="0" collapsed="false">
      <c r="A9" s="5" t="s">
        <v>2547</v>
      </c>
      <c r="B9" s="5" t="s">
        <v>2548</v>
      </c>
      <c r="C9" s="5" t="s">
        <v>2549</v>
      </c>
      <c r="D9" s="5" t="s">
        <v>1717</v>
      </c>
      <c r="E9" s="5" t="s">
        <v>2520</v>
      </c>
      <c r="F9" s="5" t="s">
        <v>2550</v>
      </c>
      <c r="G9" s="5" t="s">
        <v>238</v>
      </c>
    </row>
    <row r="10" customFormat="false" ht="15" hidden="false" customHeight="false" outlineLevel="0" collapsed="false">
      <c r="A10" s="5" t="s">
        <v>2551</v>
      </c>
      <c r="B10" s="5" t="s">
        <v>2552</v>
      </c>
      <c r="C10" s="5" t="s">
        <v>2553</v>
      </c>
      <c r="D10" s="5" t="s">
        <v>1742</v>
      </c>
      <c r="E10" s="5" t="s">
        <v>2525</v>
      </c>
      <c r="F10" s="5" t="s">
        <v>2554</v>
      </c>
      <c r="G10" s="5" t="s">
        <v>228</v>
      </c>
    </row>
    <row r="11" customFormat="false" ht="15" hidden="false" customHeight="false" outlineLevel="0" collapsed="false">
      <c r="A11" s="5" t="s">
        <v>2555</v>
      </c>
      <c r="B11" s="5" t="s">
        <v>2556</v>
      </c>
      <c r="C11" s="5" t="s">
        <v>2557</v>
      </c>
      <c r="D11" s="5" t="s">
        <v>1717</v>
      </c>
      <c r="E11" s="5" t="s">
        <v>2525</v>
      </c>
      <c r="F11" s="5" t="s">
        <v>2558</v>
      </c>
      <c r="G11" s="5" t="s">
        <v>238</v>
      </c>
    </row>
    <row r="12" customFormat="false" ht="15" hidden="false" customHeight="false" outlineLevel="0" collapsed="false">
      <c r="A12" s="5" t="s">
        <v>2559</v>
      </c>
      <c r="B12" s="5" t="s">
        <v>2560</v>
      </c>
      <c r="C12" s="5" t="s">
        <v>2561</v>
      </c>
      <c r="D12" s="5" t="s">
        <v>1742</v>
      </c>
      <c r="E12" s="5" t="s">
        <v>2525</v>
      </c>
      <c r="F12" s="5" t="s">
        <v>2562</v>
      </c>
      <c r="G12" s="5" t="s">
        <v>228</v>
      </c>
    </row>
    <row r="13" customFormat="false" ht="23.85" hidden="false" customHeight="false" outlineLevel="0" collapsed="false">
      <c r="A13" s="5" t="s">
        <v>2563</v>
      </c>
      <c r="B13" s="5" t="s">
        <v>2564</v>
      </c>
      <c r="C13" s="5" t="s">
        <v>2565</v>
      </c>
      <c r="D13" s="5" t="s">
        <v>1717</v>
      </c>
      <c r="E13" s="5" t="s">
        <v>2525</v>
      </c>
      <c r="F13" s="5" t="s">
        <v>2566</v>
      </c>
      <c r="G13" s="5" t="s">
        <v>238</v>
      </c>
    </row>
    <row r="14" customFormat="false" ht="23.85" hidden="false" customHeight="false" outlineLevel="0" collapsed="false">
      <c r="A14" s="5" t="s">
        <v>2567</v>
      </c>
      <c r="B14" s="5" t="s">
        <v>2568</v>
      </c>
      <c r="C14" s="5" t="s">
        <v>2569</v>
      </c>
      <c r="D14" s="5" t="s">
        <v>1742</v>
      </c>
      <c r="E14" s="5" t="s">
        <v>2525</v>
      </c>
      <c r="F14" s="5" t="s">
        <v>2570</v>
      </c>
      <c r="G14" s="5" t="s">
        <v>212</v>
      </c>
    </row>
    <row r="15" customFormat="false" ht="15" hidden="false" customHeight="false" outlineLevel="0" collapsed="false">
      <c r="A15" s="5" t="s">
        <v>2571</v>
      </c>
      <c r="B15" s="5" t="s">
        <v>2572</v>
      </c>
      <c r="C15" s="5" t="s">
        <v>2573</v>
      </c>
      <c r="D15" s="5" t="s">
        <v>1755</v>
      </c>
      <c r="E15" s="5" t="s">
        <v>2525</v>
      </c>
      <c r="F15" s="5" t="s">
        <v>2574</v>
      </c>
      <c r="G15" s="5" t="s">
        <v>228</v>
      </c>
    </row>
    <row r="16" customFormat="false" ht="15" hidden="false" customHeight="false" outlineLevel="0" collapsed="false">
      <c r="A16" s="5" t="s">
        <v>2575</v>
      </c>
      <c r="B16" s="5" t="s">
        <v>2576</v>
      </c>
      <c r="C16" s="5" t="s">
        <v>2577</v>
      </c>
      <c r="D16" s="5" t="s">
        <v>1755</v>
      </c>
      <c r="E16" s="5" t="s">
        <v>2525</v>
      </c>
      <c r="F16" s="5" t="s">
        <v>2578</v>
      </c>
      <c r="G16" s="5" t="s">
        <v>228</v>
      </c>
    </row>
    <row r="17" customFormat="false" ht="15" hidden="false" customHeight="false" outlineLevel="0" collapsed="false">
      <c r="A17" s="5" t="s">
        <v>2579</v>
      </c>
      <c r="B17" s="5" t="s">
        <v>2580</v>
      </c>
      <c r="C17" s="5" t="s">
        <v>2581</v>
      </c>
      <c r="D17" s="5" t="s">
        <v>1755</v>
      </c>
      <c r="E17" s="5" t="s">
        <v>2525</v>
      </c>
      <c r="F17" s="5" t="s">
        <v>2582</v>
      </c>
      <c r="G17" s="5" t="s">
        <v>228</v>
      </c>
    </row>
    <row r="18" customFormat="false" ht="15" hidden="false" customHeight="false" outlineLevel="0" collapsed="false">
      <c r="A18" s="5" t="s">
        <v>2583</v>
      </c>
      <c r="B18" s="5" t="s">
        <v>2584</v>
      </c>
      <c r="C18" s="5" t="s">
        <v>2585</v>
      </c>
      <c r="D18" s="5" t="s">
        <v>1755</v>
      </c>
      <c r="E18" s="5" t="s">
        <v>2520</v>
      </c>
      <c r="F18" s="5" t="s">
        <v>2586</v>
      </c>
      <c r="G18" s="5" t="s">
        <v>238</v>
      </c>
    </row>
    <row r="19" customFormat="false" ht="15" hidden="false" customHeight="false" outlineLevel="0" collapsed="false">
      <c r="A19" s="5" t="s">
        <v>2587</v>
      </c>
      <c r="B19" s="5" t="s">
        <v>2588</v>
      </c>
      <c r="C19" s="5" t="s">
        <v>2589</v>
      </c>
      <c r="D19" s="5" t="s">
        <v>1717</v>
      </c>
      <c r="E19" s="5" t="s">
        <v>2520</v>
      </c>
      <c r="F19" s="5" t="s">
        <v>2590</v>
      </c>
      <c r="G19" s="5" t="s">
        <v>228</v>
      </c>
    </row>
    <row r="20" customFormat="false" ht="15" hidden="false" customHeight="false" outlineLevel="0" collapsed="false">
      <c r="A20" s="5" t="s">
        <v>2591</v>
      </c>
      <c r="B20" s="5" t="s">
        <v>2588</v>
      </c>
      <c r="C20" s="5" t="s">
        <v>2592</v>
      </c>
      <c r="D20" s="5" t="s">
        <v>1717</v>
      </c>
      <c r="E20" s="5" t="s">
        <v>2520</v>
      </c>
      <c r="F20" s="5" t="s">
        <v>2593</v>
      </c>
      <c r="G20" s="5" t="s">
        <v>228</v>
      </c>
    </row>
    <row r="21" customFormat="false" ht="15" hidden="false" customHeight="false" outlineLevel="0" collapsed="false">
      <c r="A21" s="5" t="s">
        <v>2594</v>
      </c>
      <c r="B21" s="5" t="s">
        <v>2588</v>
      </c>
      <c r="C21" s="5" t="s">
        <v>2595</v>
      </c>
      <c r="D21" s="5" t="s">
        <v>1717</v>
      </c>
      <c r="E21" s="5" t="s">
        <v>2520</v>
      </c>
      <c r="F21" s="5" t="s">
        <v>2596</v>
      </c>
      <c r="G21" s="5" t="s">
        <v>228</v>
      </c>
    </row>
    <row r="22" customFormat="false" ht="15" hidden="false" customHeight="false" outlineLevel="0" collapsed="false">
      <c r="A22" s="5" t="s">
        <v>2597</v>
      </c>
      <c r="B22" s="5" t="s">
        <v>2588</v>
      </c>
      <c r="C22" s="5" t="s">
        <v>2598</v>
      </c>
      <c r="D22" s="5" t="s">
        <v>1717</v>
      </c>
      <c r="E22" s="5" t="s">
        <v>2525</v>
      </c>
      <c r="F22" s="5" t="s">
        <v>2599</v>
      </c>
      <c r="G22" s="5" t="s">
        <v>238</v>
      </c>
    </row>
    <row r="23" customFormat="false" ht="15" hidden="false" customHeight="false" outlineLevel="0" collapsed="false">
      <c r="A23" s="5" t="s">
        <v>2600</v>
      </c>
      <c r="B23" s="5" t="s">
        <v>2588</v>
      </c>
      <c r="C23" s="5" t="s">
        <v>2601</v>
      </c>
      <c r="D23" s="5" t="s">
        <v>1742</v>
      </c>
      <c r="E23" s="5" t="s">
        <v>2520</v>
      </c>
      <c r="F23" s="5" t="s">
        <v>2602</v>
      </c>
      <c r="G23" s="5" t="s">
        <v>228</v>
      </c>
    </row>
    <row r="24" customFormat="false" ht="15" hidden="false" customHeight="false" outlineLevel="0" collapsed="false">
      <c r="A24" s="5" t="s">
        <v>2603</v>
      </c>
      <c r="B24" s="5" t="s">
        <v>2588</v>
      </c>
      <c r="C24" s="5" t="s">
        <v>2604</v>
      </c>
      <c r="D24" s="5" t="s">
        <v>1742</v>
      </c>
      <c r="E24" s="5" t="s">
        <v>2520</v>
      </c>
      <c r="F24" s="5" t="s">
        <v>2605</v>
      </c>
      <c r="G24" s="5" t="s">
        <v>228</v>
      </c>
    </row>
    <row r="25" customFormat="false" ht="15" hidden="false" customHeight="false" outlineLevel="0" collapsed="false">
      <c r="A25" s="5" t="s">
        <v>2606</v>
      </c>
      <c r="B25" s="5" t="s">
        <v>2588</v>
      </c>
      <c r="C25" s="5" t="s">
        <v>2607</v>
      </c>
      <c r="D25" s="5" t="s">
        <v>1742</v>
      </c>
      <c r="E25" s="5" t="s">
        <v>2525</v>
      </c>
      <c r="F25" s="5" t="s">
        <v>2608</v>
      </c>
      <c r="G25" s="5" t="s">
        <v>228</v>
      </c>
    </row>
    <row r="26" customFormat="false" ht="15" hidden="false" customHeight="false" outlineLevel="0" collapsed="false">
      <c r="A26" s="5" t="s">
        <v>2609</v>
      </c>
      <c r="B26" s="5" t="s">
        <v>2588</v>
      </c>
      <c r="C26" s="5" t="s">
        <v>2610</v>
      </c>
      <c r="D26" s="5" t="s">
        <v>1755</v>
      </c>
      <c r="E26" s="5" t="s">
        <v>2520</v>
      </c>
      <c r="F26" s="5" t="s">
        <v>2611</v>
      </c>
      <c r="G26" s="5" t="s">
        <v>228</v>
      </c>
    </row>
    <row r="27" customFormat="false" ht="15" hidden="false" customHeight="false" outlineLevel="0" collapsed="false">
      <c r="A27" s="5" t="s">
        <v>2612</v>
      </c>
      <c r="B27" s="5" t="s">
        <v>2613</v>
      </c>
      <c r="C27" s="5" t="s">
        <v>2614</v>
      </c>
      <c r="D27" s="5" t="s">
        <v>1717</v>
      </c>
      <c r="E27" s="5" t="s">
        <v>2525</v>
      </c>
      <c r="F27" s="5" t="s">
        <v>2615</v>
      </c>
      <c r="G27" s="5" t="s">
        <v>228</v>
      </c>
    </row>
    <row r="28" customFormat="false" ht="15" hidden="false" customHeight="false" outlineLevel="0" collapsed="false">
      <c r="A28" s="5" t="s">
        <v>2616</v>
      </c>
      <c r="B28" s="5" t="s">
        <v>2613</v>
      </c>
      <c r="C28" s="5" t="s">
        <v>2617</v>
      </c>
      <c r="D28" s="5" t="s">
        <v>1717</v>
      </c>
      <c r="E28" s="5" t="s">
        <v>2525</v>
      </c>
      <c r="F28" s="5" t="s">
        <v>2618</v>
      </c>
      <c r="G28" s="5" t="s">
        <v>228</v>
      </c>
    </row>
    <row r="29" customFormat="false" ht="15" hidden="false" customHeight="false" outlineLevel="0" collapsed="false">
      <c r="A29" s="5" t="s">
        <v>2619</v>
      </c>
      <c r="B29" s="5" t="s">
        <v>2613</v>
      </c>
      <c r="C29" s="5" t="s">
        <v>2620</v>
      </c>
      <c r="D29" s="5" t="s">
        <v>1742</v>
      </c>
      <c r="E29" s="5" t="s">
        <v>2525</v>
      </c>
      <c r="F29" s="5" t="s">
        <v>2621</v>
      </c>
      <c r="G29" s="5" t="s">
        <v>238</v>
      </c>
    </row>
    <row r="30" customFormat="false" ht="15" hidden="false" customHeight="false" outlineLevel="0" collapsed="false">
      <c r="A30" s="5" t="s">
        <v>2622</v>
      </c>
      <c r="B30" s="5" t="s">
        <v>2613</v>
      </c>
      <c r="C30" s="5" t="s">
        <v>2623</v>
      </c>
      <c r="D30" s="5" t="s">
        <v>1742</v>
      </c>
      <c r="E30" s="5" t="s">
        <v>2525</v>
      </c>
      <c r="F30" s="5" t="s">
        <v>2624</v>
      </c>
      <c r="G30" s="5" t="s">
        <v>238</v>
      </c>
    </row>
    <row r="31" customFormat="false" ht="15" hidden="false" customHeight="false" outlineLevel="0" collapsed="false">
      <c r="A31" s="5" t="s">
        <v>2625</v>
      </c>
      <c r="B31" s="5" t="s">
        <v>2613</v>
      </c>
      <c r="C31" s="5" t="s">
        <v>2626</v>
      </c>
      <c r="D31" s="5" t="s">
        <v>1717</v>
      </c>
      <c r="E31" s="5" t="s">
        <v>2525</v>
      </c>
      <c r="F31" s="5" t="s">
        <v>2627</v>
      </c>
      <c r="G31" s="5" t="s">
        <v>238</v>
      </c>
    </row>
    <row r="32" customFormat="false" ht="15" hidden="false" customHeight="false" outlineLevel="0" collapsed="false">
      <c r="A32" s="5" t="s">
        <v>2628</v>
      </c>
      <c r="B32" s="5" t="s">
        <v>2629</v>
      </c>
      <c r="C32" s="5" t="s">
        <v>2630</v>
      </c>
      <c r="D32" s="5" t="s">
        <v>1717</v>
      </c>
      <c r="E32" s="5" t="s">
        <v>2525</v>
      </c>
      <c r="F32" s="5" t="s">
        <v>2631</v>
      </c>
      <c r="G32" s="5" t="s">
        <v>238</v>
      </c>
    </row>
    <row r="33" customFormat="false" ht="15" hidden="false" customHeight="false" outlineLevel="0" collapsed="false">
      <c r="A33" s="5" t="s">
        <v>2632</v>
      </c>
      <c r="B33" s="5" t="s">
        <v>2633</v>
      </c>
      <c r="C33" s="5" t="s">
        <v>2634</v>
      </c>
      <c r="D33" s="5" t="s">
        <v>1742</v>
      </c>
      <c r="E33" s="5" t="s">
        <v>2525</v>
      </c>
      <c r="F33" s="5" t="s">
        <v>2635</v>
      </c>
      <c r="G33" s="5" t="s">
        <v>228</v>
      </c>
    </row>
    <row r="34" customFormat="false" ht="23.85" hidden="false" customHeight="false" outlineLevel="0" collapsed="false">
      <c r="A34" s="5" t="s">
        <v>2636</v>
      </c>
      <c r="B34" s="5" t="s">
        <v>2637</v>
      </c>
      <c r="C34" s="5" t="s">
        <v>2638</v>
      </c>
      <c r="D34" s="5" t="s">
        <v>1717</v>
      </c>
      <c r="E34" s="5" t="s">
        <v>2639</v>
      </c>
      <c r="F34" s="5" t="s">
        <v>2640</v>
      </c>
      <c r="G34" s="5" t="s">
        <v>277</v>
      </c>
    </row>
    <row r="35" customFormat="false" ht="15" hidden="false" customHeight="false" outlineLevel="0" collapsed="false">
      <c r="A35" s="5" t="s">
        <v>2641</v>
      </c>
      <c r="B35" s="5" t="s">
        <v>2642</v>
      </c>
      <c r="C35" s="5" t="s">
        <v>2643</v>
      </c>
      <c r="D35" s="5" t="s">
        <v>1717</v>
      </c>
      <c r="E35" s="5" t="s">
        <v>2525</v>
      </c>
      <c r="F35" s="5" t="s">
        <v>2644</v>
      </c>
      <c r="G35" s="5" t="s">
        <v>277</v>
      </c>
    </row>
    <row r="36" customFormat="false" ht="15" hidden="false" customHeight="false" outlineLevel="0" collapsed="false">
      <c r="A36" s="5" t="s">
        <v>2645</v>
      </c>
      <c r="B36" s="5" t="s">
        <v>2646</v>
      </c>
      <c r="C36" s="5" t="s">
        <v>2647</v>
      </c>
      <c r="D36" s="5" t="s">
        <v>1717</v>
      </c>
      <c r="E36" s="5" t="s">
        <v>2525</v>
      </c>
      <c r="F36" s="5" t="s">
        <v>2648</v>
      </c>
      <c r="G36" s="5" t="s">
        <v>277</v>
      </c>
    </row>
    <row r="37" customFormat="false" ht="15" hidden="false" customHeight="false" outlineLevel="0" collapsed="false">
      <c r="A37" s="5" t="s">
        <v>2649</v>
      </c>
      <c r="B37" s="5" t="s">
        <v>2646</v>
      </c>
      <c r="C37" s="5" t="s">
        <v>2650</v>
      </c>
      <c r="D37" s="5" t="s">
        <v>1717</v>
      </c>
      <c r="E37" s="5" t="s">
        <v>2520</v>
      </c>
      <c r="F37" s="5" t="s">
        <v>2651</v>
      </c>
      <c r="G37" s="5" t="s">
        <v>277</v>
      </c>
    </row>
    <row r="38" customFormat="false" ht="23.85" hidden="false" customHeight="false" outlineLevel="0" collapsed="false">
      <c r="A38" s="5" t="s">
        <v>2652</v>
      </c>
      <c r="B38" s="5" t="s">
        <v>2637</v>
      </c>
      <c r="C38" s="5" t="s">
        <v>2653</v>
      </c>
      <c r="D38" s="5" t="s">
        <v>1717</v>
      </c>
      <c r="E38" s="5" t="s">
        <v>2525</v>
      </c>
      <c r="F38" s="5" t="s">
        <v>2654</v>
      </c>
      <c r="G38" s="5" t="s">
        <v>277</v>
      </c>
    </row>
    <row r="39" customFormat="false" ht="15" hidden="false" customHeight="false" outlineLevel="0" collapsed="false">
      <c r="A39" s="5" t="s">
        <v>2655</v>
      </c>
      <c r="B39" s="5" t="s">
        <v>2656</v>
      </c>
      <c r="C39" s="5" t="s">
        <v>2657</v>
      </c>
      <c r="D39" s="5" t="s">
        <v>1717</v>
      </c>
      <c r="E39" s="5" t="s">
        <v>2520</v>
      </c>
      <c r="F39" s="5" t="s">
        <v>2658</v>
      </c>
      <c r="G39" s="5" t="s">
        <v>277</v>
      </c>
    </row>
    <row r="40" customFormat="false" ht="15" hidden="false" customHeight="false" outlineLevel="0" collapsed="false">
      <c r="A40" s="5" t="s">
        <v>2659</v>
      </c>
      <c r="B40" s="5" t="s">
        <v>2656</v>
      </c>
      <c r="C40" s="5" t="s">
        <v>2660</v>
      </c>
      <c r="D40" s="5" t="s">
        <v>1717</v>
      </c>
      <c r="E40" s="5" t="s">
        <v>2525</v>
      </c>
      <c r="F40" s="5" t="s">
        <v>2661</v>
      </c>
      <c r="G40" s="5" t="s">
        <v>277</v>
      </c>
    </row>
    <row r="41" customFormat="false" ht="15" hidden="false" customHeight="false" outlineLevel="0" collapsed="false">
      <c r="A41" s="5" t="s">
        <v>2662</v>
      </c>
      <c r="B41" s="5" t="s">
        <v>2663</v>
      </c>
      <c r="C41" s="5" t="s">
        <v>2664</v>
      </c>
      <c r="D41" s="5" t="s">
        <v>1717</v>
      </c>
      <c r="E41" s="5" t="s">
        <v>2525</v>
      </c>
      <c r="F41" s="5" t="s">
        <v>2665</v>
      </c>
      <c r="G41" s="5" t="s">
        <v>277</v>
      </c>
    </row>
    <row r="42" customFormat="false" ht="15" hidden="false" customHeight="false" outlineLevel="0" collapsed="false">
      <c r="A42" s="5" t="s">
        <v>2666</v>
      </c>
      <c r="B42" s="5" t="s">
        <v>2656</v>
      </c>
      <c r="C42" s="5" t="s">
        <v>2667</v>
      </c>
      <c r="D42" s="5" t="s">
        <v>1742</v>
      </c>
      <c r="E42" s="5" t="s">
        <v>2525</v>
      </c>
      <c r="F42" s="5" t="s">
        <v>2668</v>
      </c>
      <c r="G42" s="5" t="s">
        <v>277</v>
      </c>
    </row>
    <row r="43" customFormat="false" ht="23.85" hidden="false" customHeight="false" outlineLevel="0" collapsed="false">
      <c r="A43" s="5" t="s">
        <v>2669</v>
      </c>
      <c r="B43" s="5" t="s">
        <v>2656</v>
      </c>
      <c r="C43" s="5" t="s">
        <v>2670</v>
      </c>
      <c r="D43" s="5" t="s">
        <v>1742</v>
      </c>
      <c r="E43" s="5" t="s">
        <v>2525</v>
      </c>
      <c r="F43" s="5" t="s">
        <v>2671</v>
      </c>
      <c r="G43" s="5" t="s">
        <v>2672</v>
      </c>
    </row>
    <row r="44" customFormat="false" ht="15" hidden="false" customHeight="false" outlineLevel="0" collapsed="false">
      <c r="A44" s="5" t="s">
        <v>2673</v>
      </c>
      <c r="B44" s="5" t="s">
        <v>2674</v>
      </c>
      <c r="C44" s="5" t="s">
        <v>2675</v>
      </c>
      <c r="D44" s="5" t="s">
        <v>1717</v>
      </c>
      <c r="E44" s="5" t="s">
        <v>2520</v>
      </c>
      <c r="F44" s="5" t="s">
        <v>2676</v>
      </c>
      <c r="G44" s="5" t="s">
        <v>277</v>
      </c>
    </row>
    <row r="45" customFormat="false" ht="23.85" hidden="false" customHeight="false" outlineLevel="0" collapsed="false">
      <c r="A45" s="5" t="s">
        <v>2677</v>
      </c>
      <c r="B45" s="5" t="s">
        <v>2678</v>
      </c>
      <c r="C45" s="5" t="s">
        <v>2679</v>
      </c>
      <c r="D45" s="5" t="s">
        <v>1742</v>
      </c>
      <c r="E45" s="5" t="s">
        <v>2520</v>
      </c>
      <c r="F45" s="5" t="s">
        <v>2680</v>
      </c>
      <c r="G45" s="5" t="s">
        <v>277</v>
      </c>
    </row>
    <row r="46" customFormat="false" ht="15" hidden="false" customHeight="false" outlineLevel="0" collapsed="false">
      <c r="A46" s="5" t="s">
        <v>2681</v>
      </c>
      <c r="B46" s="5" t="s">
        <v>2678</v>
      </c>
      <c r="C46" s="5" t="s">
        <v>2682</v>
      </c>
      <c r="D46" s="5" t="s">
        <v>1717</v>
      </c>
      <c r="E46" s="5" t="s">
        <v>2525</v>
      </c>
      <c r="F46" s="5" t="s">
        <v>2683</v>
      </c>
      <c r="G46" s="5" t="s">
        <v>277</v>
      </c>
    </row>
    <row r="47" customFormat="false" ht="15" hidden="false" customHeight="false" outlineLevel="0" collapsed="false">
      <c r="A47" s="5" t="s">
        <v>2684</v>
      </c>
      <c r="B47" s="5" t="s">
        <v>2685</v>
      </c>
      <c r="C47" s="5" t="s">
        <v>2686</v>
      </c>
      <c r="D47" s="5" t="s">
        <v>1717</v>
      </c>
      <c r="E47" s="5" t="s">
        <v>2525</v>
      </c>
      <c r="F47" s="5" t="s">
        <v>2687</v>
      </c>
      <c r="G47" s="5" t="s">
        <v>277</v>
      </c>
    </row>
    <row r="48" customFormat="false" ht="15" hidden="false" customHeight="false" outlineLevel="0" collapsed="false">
      <c r="A48" s="5" t="s">
        <v>2688</v>
      </c>
      <c r="B48" s="5" t="s">
        <v>2685</v>
      </c>
      <c r="C48" s="5" t="s">
        <v>2689</v>
      </c>
      <c r="D48" s="5" t="s">
        <v>1755</v>
      </c>
      <c r="E48" s="5" t="s">
        <v>2525</v>
      </c>
      <c r="F48" s="5" t="s">
        <v>2690</v>
      </c>
      <c r="G48" s="5" t="s">
        <v>277</v>
      </c>
    </row>
    <row r="49" customFormat="false" ht="15" hidden="false" customHeight="false" outlineLevel="0" collapsed="false">
      <c r="A49" s="5" t="s">
        <v>2691</v>
      </c>
      <c r="B49" s="5" t="s">
        <v>2637</v>
      </c>
      <c r="C49" s="5" t="s">
        <v>2692</v>
      </c>
      <c r="D49" s="5" t="s">
        <v>1717</v>
      </c>
      <c r="E49" s="5" t="s">
        <v>2525</v>
      </c>
      <c r="F49" s="5" t="s">
        <v>2693</v>
      </c>
      <c r="G49" s="5" t="s">
        <v>277</v>
      </c>
    </row>
    <row r="50" customFormat="false" ht="23.85" hidden="false" customHeight="false" outlineLevel="0" collapsed="false">
      <c r="A50" s="5" t="s">
        <v>2694</v>
      </c>
      <c r="B50" s="5" t="s">
        <v>2695</v>
      </c>
      <c r="C50" s="5" t="s">
        <v>2696</v>
      </c>
      <c r="D50" s="5" t="s">
        <v>1717</v>
      </c>
      <c r="E50" s="5" t="s">
        <v>2520</v>
      </c>
      <c r="F50" s="5" t="s">
        <v>2697</v>
      </c>
      <c r="G50" s="5" t="s">
        <v>277</v>
      </c>
    </row>
    <row r="51" customFormat="false" ht="15" hidden="false" customHeight="false" outlineLevel="0" collapsed="false">
      <c r="A51" s="5" t="s">
        <v>2698</v>
      </c>
      <c r="B51" s="5" t="s">
        <v>2699</v>
      </c>
      <c r="C51" s="5" t="s">
        <v>2700</v>
      </c>
      <c r="D51" s="5" t="s">
        <v>1717</v>
      </c>
      <c r="E51" s="5" t="s">
        <v>2520</v>
      </c>
      <c r="F51" s="5" t="s">
        <v>2701</v>
      </c>
      <c r="G51" s="5" t="s">
        <v>1768</v>
      </c>
    </row>
    <row r="52" customFormat="false" ht="15" hidden="false" customHeight="false" outlineLevel="0" collapsed="false">
      <c r="A52" s="5" t="s">
        <v>2702</v>
      </c>
      <c r="B52" s="5" t="s">
        <v>2699</v>
      </c>
      <c r="C52" s="5" t="s">
        <v>2703</v>
      </c>
      <c r="D52" s="5" t="s">
        <v>1717</v>
      </c>
      <c r="E52" s="5" t="s">
        <v>2525</v>
      </c>
      <c r="F52" s="5" t="s">
        <v>2704</v>
      </c>
      <c r="G52" s="5" t="s">
        <v>1768</v>
      </c>
    </row>
    <row r="53" customFormat="false" ht="23.85" hidden="false" customHeight="false" outlineLevel="0" collapsed="false">
      <c r="A53" s="5" t="s">
        <v>2705</v>
      </c>
      <c r="B53" s="5" t="s">
        <v>2706</v>
      </c>
      <c r="C53" s="5" t="s">
        <v>2707</v>
      </c>
      <c r="D53" s="5" t="s">
        <v>1717</v>
      </c>
      <c r="E53" s="5" t="s">
        <v>2520</v>
      </c>
      <c r="F53" s="5" t="s">
        <v>2708</v>
      </c>
      <c r="G53" s="5" t="s">
        <v>1768</v>
      </c>
    </row>
    <row r="54" customFormat="false" ht="23.85" hidden="false" customHeight="false" outlineLevel="0" collapsed="false">
      <c r="A54" s="5" t="s">
        <v>2709</v>
      </c>
      <c r="B54" s="5" t="s">
        <v>2706</v>
      </c>
      <c r="C54" s="5" t="s">
        <v>2710</v>
      </c>
      <c r="D54" s="5" t="s">
        <v>1742</v>
      </c>
      <c r="E54" s="5" t="s">
        <v>2525</v>
      </c>
      <c r="F54" s="5" t="s">
        <v>2711</v>
      </c>
      <c r="G54" s="5" t="s">
        <v>1768</v>
      </c>
    </row>
    <row r="55" customFormat="false" ht="15" hidden="false" customHeight="false" outlineLevel="0" collapsed="false">
      <c r="A55" s="5" t="s">
        <v>2712</v>
      </c>
      <c r="B55" s="5" t="s">
        <v>2713</v>
      </c>
      <c r="C55" s="5" t="s">
        <v>2714</v>
      </c>
      <c r="D55" s="5" t="s">
        <v>1717</v>
      </c>
      <c r="E55" s="5" t="s">
        <v>2520</v>
      </c>
      <c r="F55" s="5" t="s">
        <v>2715</v>
      </c>
      <c r="G55" s="5" t="s">
        <v>1768</v>
      </c>
    </row>
    <row r="56" customFormat="false" ht="15" hidden="false" customHeight="false" outlineLevel="0" collapsed="false">
      <c r="A56" s="5" t="s">
        <v>2716</v>
      </c>
      <c r="B56" s="5" t="s">
        <v>2713</v>
      </c>
      <c r="C56" s="5" t="s">
        <v>2717</v>
      </c>
      <c r="D56" s="5" t="s">
        <v>1717</v>
      </c>
      <c r="E56" s="5" t="s">
        <v>2525</v>
      </c>
      <c r="F56" s="5" t="s">
        <v>2718</v>
      </c>
      <c r="G56" s="5" t="s">
        <v>1768</v>
      </c>
    </row>
    <row r="57" customFormat="false" ht="15" hidden="false" customHeight="false" outlineLevel="0" collapsed="false">
      <c r="A57" s="5" t="s">
        <v>2719</v>
      </c>
      <c r="B57" s="5" t="s">
        <v>2720</v>
      </c>
      <c r="C57" s="5" t="s">
        <v>2721</v>
      </c>
      <c r="D57" s="5" t="s">
        <v>1717</v>
      </c>
      <c r="E57" s="5" t="s">
        <v>2525</v>
      </c>
      <c r="F57" s="5" t="s">
        <v>2722</v>
      </c>
      <c r="G57" s="5" t="s">
        <v>1768</v>
      </c>
    </row>
    <row r="58" customFormat="false" ht="15" hidden="false" customHeight="false" outlineLevel="0" collapsed="false">
      <c r="A58" s="5" t="s">
        <v>2723</v>
      </c>
      <c r="B58" s="5" t="s">
        <v>2724</v>
      </c>
      <c r="C58" s="5" t="s">
        <v>2725</v>
      </c>
      <c r="D58" s="5" t="s">
        <v>1717</v>
      </c>
      <c r="E58" s="5" t="s">
        <v>2520</v>
      </c>
      <c r="F58" s="5" t="s">
        <v>2726</v>
      </c>
      <c r="G58" s="5" t="s">
        <v>1768</v>
      </c>
    </row>
    <row r="59" customFormat="false" ht="15" hidden="false" customHeight="false" outlineLevel="0" collapsed="false">
      <c r="A59" s="5" t="s">
        <v>2727</v>
      </c>
      <c r="B59" s="5" t="s">
        <v>2728</v>
      </c>
      <c r="C59" s="5" t="s">
        <v>2729</v>
      </c>
      <c r="D59" s="5" t="s">
        <v>1717</v>
      </c>
      <c r="E59" s="5" t="s">
        <v>2520</v>
      </c>
      <c r="F59" s="5" t="s">
        <v>2730</v>
      </c>
      <c r="G59" s="5" t="s">
        <v>1768</v>
      </c>
    </row>
    <row r="60" customFormat="false" ht="15" hidden="false" customHeight="false" outlineLevel="0" collapsed="false">
      <c r="A60" s="5" t="s">
        <v>2731</v>
      </c>
      <c r="B60" s="5" t="s">
        <v>2728</v>
      </c>
      <c r="C60" s="5" t="s">
        <v>2732</v>
      </c>
      <c r="D60" s="5" t="s">
        <v>1742</v>
      </c>
      <c r="E60" s="5" t="s">
        <v>2525</v>
      </c>
      <c r="F60" s="5" t="s">
        <v>2733</v>
      </c>
      <c r="G60" s="5" t="s">
        <v>1768</v>
      </c>
    </row>
    <row r="61" customFormat="false" ht="23.85" hidden="false" customHeight="false" outlineLevel="0" collapsed="false">
      <c r="A61" s="5" t="s">
        <v>2734</v>
      </c>
      <c r="B61" s="5" t="s">
        <v>2735</v>
      </c>
      <c r="C61" s="5" t="s">
        <v>2736</v>
      </c>
      <c r="D61" s="5" t="s">
        <v>1717</v>
      </c>
      <c r="E61" s="5" t="s">
        <v>2520</v>
      </c>
      <c r="F61" s="5" t="s">
        <v>2737</v>
      </c>
      <c r="G61" s="5" t="s">
        <v>1768</v>
      </c>
    </row>
    <row r="62" customFormat="false" ht="15" hidden="false" customHeight="false" outlineLevel="0" collapsed="false">
      <c r="A62" s="5" t="s">
        <v>2738</v>
      </c>
      <c r="B62" s="5" t="s">
        <v>2739</v>
      </c>
      <c r="C62" s="5" t="s">
        <v>2740</v>
      </c>
      <c r="D62" s="5" t="s">
        <v>1717</v>
      </c>
      <c r="E62" s="5" t="s">
        <v>2525</v>
      </c>
      <c r="F62" s="5" t="s">
        <v>2741</v>
      </c>
      <c r="G62" s="5" t="s">
        <v>1768</v>
      </c>
    </row>
  </sheetData>
  <autoFilter ref="A1:G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85"/>
    <col collapsed="false" customWidth="true" hidden="false" outlineLevel="0" max="4" min="4" style="0" width="18"/>
    <col collapsed="false" customWidth="true" hidden="false" outlineLevel="0" max="5" min="5" style="0" width="14"/>
    <col collapsed="false" customWidth="true" hidden="false" outlineLevel="0" max="6" min="6" style="0" width="50"/>
  </cols>
  <sheetData>
    <row r="1" customFormat="false" ht="30" hidden="false" customHeight="true" outlineLevel="0" collapsed="false">
      <c r="A1" s="4" t="s">
        <v>752</v>
      </c>
      <c r="B1" s="4" t="s">
        <v>2742</v>
      </c>
      <c r="C1" s="4" t="s">
        <v>2743</v>
      </c>
      <c r="D1" s="4" t="s">
        <v>2744</v>
      </c>
      <c r="E1" s="4" t="s">
        <v>121</v>
      </c>
      <c r="F1" s="4" t="s">
        <v>2745</v>
      </c>
    </row>
    <row r="2" customFormat="false" ht="23.85" hidden="false" customHeight="false" outlineLevel="0" collapsed="false">
      <c r="A2" s="5" t="s">
        <v>2746</v>
      </c>
      <c r="B2" s="5" t="s">
        <v>2747</v>
      </c>
      <c r="C2" s="5" t="s">
        <v>2748</v>
      </c>
      <c r="D2" s="5" t="s">
        <v>2749</v>
      </c>
      <c r="E2" s="5" t="s">
        <v>2750</v>
      </c>
      <c r="F2" s="5"/>
    </row>
    <row r="3" customFormat="false" ht="15" hidden="false" customHeight="false" outlineLevel="0" collapsed="false">
      <c r="A3" s="5" t="s">
        <v>2751</v>
      </c>
      <c r="B3" s="5" t="s">
        <v>2752</v>
      </c>
      <c r="C3" s="5" t="s">
        <v>2753</v>
      </c>
      <c r="D3" s="5" t="s">
        <v>2749</v>
      </c>
      <c r="E3" s="5" t="s">
        <v>2750</v>
      </c>
      <c r="F3" s="5"/>
    </row>
    <row r="4" customFormat="false" ht="15" hidden="false" customHeight="false" outlineLevel="0" collapsed="false">
      <c r="A4" s="6" t="s">
        <v>2754</v>
      </c>
      <c r="B4" s="6" t="s">
        <v>1626</v>
      </c>
      <c r="C4" s="6" t="s">
        <v>2755</v>
      </c>
      <c r="D4" s="6" t="s">
        <v>2254</v>
      </c>
      <c r="E4" s="6" t="s">
        <v>2756</v>
      </c>
      <c r="F4" s="6" t="s">
        <v>2757</v>
      </c>
    </row>
    <row r="5" customFormat="false" ht="23.85" hidden="false" customHeight="false" outlineLevel="0" collapsed="false">
      <c r="A5" s="6" t="s">
        <v>2758</v>
      </c>
      <c r="B5" s="6" t="s">
        <v>2759</v>
      </c>
      <c r="C5" s="6" t="s">
        <v>2760</v>
      </c>
      <c r="D5" s="6" t="s">
        <v>2749</v>
      </c>
      <c r="E5" s="6" t="s">
        <v>2756</v>
      </c>
      <c r="F5" s="6" t="s">
        <v>2761</v>
      </c>
    </row>
    <row r="6" customFormat="false" ht="23.85" hidden="false" customHeight="false" outlineLevel="0" collapsed="false">
      <c r="A6" s="6" t="s">
        <v>2762</v>
      </c>
      <c r="B6" s="6" t="s">
        <v>2763</v>
      </c>
      <c r="C6" s="6" t="s">
        <v>2764</v>
      </c>
      <c r="D6" s="6" t="s">
        <v>2749</v>
      </c>
      <c r="E6" s="6" t="s">
        <v>2756</v>
      </c>
      <c r="F6" s="6" t="s">
        <v>2765</v>
      </c>
    </row>
    <row r="7" customFormat="false" ht="23.85" hidden="false" customHeight="false" outlineLevel="0" collapsed="false">
      <c r="A7" s="5" t="s">
        <v>2766</v>
      </c>
      <c r="B7" s="5" t="s">
        <v>2767</v>
      </c>
      <c r="C7" s="5" t="s">
        <v>2768</v>
      </c>
      <c r="D7" s="5" t="s">
        <v>2749</v>
      </c>
      <c r="E7" s="5" t="s">
        <v>2750</v>
      </c>
      <c r="F7" s="5"/>
    </row>
    <row r="8" customFormat="false" ht="15" hidden="false" customHeight="false" outlineLevel="0" collapsed="false">
      <c r="A8" s="6" t="s">
        <v>2769</v>
      </c>
      <c r="B8" s="6" t="s">
        <v>2770</v>
      </c>
      <c r="C8" s="6" t="s">
        <v>2771</v>
      </c>
      <c r="D8" s="6" t="s">
        <v>2254</v>
      </c>
      <c r="E8" s="6" t="s">
        <v>2756</v>
      </c>
      <c r="F8" s="6" t="s">
        <v>2772</v>
      </c>
    </row>
    <row r="9" customFormat="false" ht="15" hidden="false" customHeight="false" outlineLevel="0" collapsed="false">
      <c r="A9" s="5" t="s">
        <v>2773</v>
      </c>
      <c r="B9" s="5" t="s">
        <v>2774</v>
      </c>
      <c r="C9" s="5" t="s">
        <v>2775</v>
      </c>
      <c r="D9" s="5" t="s">
        <v>2749</v>
      </c>
      <c r="E9" s="5" t="s">
        <v>2750</v>
      </c>
      <c r="F9" s="5"/>
    </row>
    <row r="10" customFormat="false" ht="23.85" hidden="false" customHeight="false" outlineLevel="0" collapsed="false">
      <c r="A10" s="5" t="s">
        <v>2776</v>
      </c>
      <c r="B10" s="5" t="s">
        <v>1681</v>
      </c>
      <c r="C10" s="5" t="s">
        <v>2777</v>
      </c>
      <c r="D10" s="5" t="s">
        <v>2254</v>
      </c>
      <c r="E10" s="5" t="s">
        <v>2750</v>
      </c>
      <c r="F10" s="5"/>
    </row>
    <row r="11" customFormat="false" ht="15" hidden="false" customHeight="false" outlineLevel="0" collapsed="false">
      <c r="A11" s="5" t="s">
        <v>2778</v>
      </c>
      <c r="B11" s="5" t="s">
        <v>2779</v>
      </c>
      <c r="C11" s="5" t="s">
        <v>2780</v>
      </c>
      <c r="D11" s="5" t="s">
        <v>2749</v>
      </c>
      <c r="E11" s="5" t="s">
        <v>2750</v>
      </c>
      <c r="F11" s="5"/>
    </row>
    <row r="12" customFormat="false" ht="15" hidden="false" customHeight="false" outlineLevel="0" collapsed="false">
      <c r="A12" s="5" t="s">
        <v>2781</v>
      </c>
      <c r="B12" s="5" t="s">
        <v>2782</v>
      </c>
      <c r="C12" s="5" t="s">
        <v>2783</v>
      </c>
      <c r="D12" s="5" t="s">
        <v>2784</v>
      </c>
      <c r="E12" s="5" t="s">
        <v>2750</v>
      </c>
      <c r="F12" s="5"/>
    </row>
    <row r="13" customFormat="false" ht="15" hidden="false" customHeight="false" outlineLevel="0" collapsed="false">
      <c r="A13" s="5" t="s">
        <v>2785</v>
      </c>
      <c r="B13" s="5" t="s">
        <v>2786</v>
      </c>
      <c r="C13" s="5" t="s">
        <v>2787</v>
      </c>
      <c r="D13" s="5" t="s">
        <v>2749</v>
      </c>
      <c r="E13" s="5" t="s">
        <v>2750</v>
      </c>
      <c r="F13" s="5"/>
    </row>
    <row r="14" customFormat="false" ht="15" hidden="false" customHeight="false" outlineLevel="0" collapsed="false">
      <c r="A14" s="5" t="s">
        <v>2788</v>
      </c>
      <c r="B14" s="5" t="s">
        <v>2789</v>
      </c>
      <c r="C14" s="5" t="s">
        <v>2790</v>
      </c>
      <c r="D14" s="5" t="s">
        <v>2749</v>
      </c>
      <c r="E14" s="5" t="s">
        <v>2750</v>
      </c>
      <c r="F14" s="5"/>
    </row>
    <row r="15" customFormat="false" ht="35.05" hidden="false" customHeight="false" outlineLevel="0" collapsed="false">
      <c r="A15" s="6" t="s">
        <v>2791</v>
      </c>
      <c r="B15" s="6" t="s">
        <v>2792</v>
      </c>
      <c r="C15" s="6" t="s">
        <v>2793</v>
      </c>
      <c r="D15" s="6" t="s">
        <v>2254</v>
      </c>
      <c r="E15" s="6" t="s">
        <v>2756</v>
      </c>
      <c r="F15" s="6" t="s">
        <v>2794</v>
      </c>
    </row>
    <row r="16" customFormat="false" ht="15" hidden="false" customHeight="false" outlineLevel="0" collapsed="false">
      <c r="A16" s="6" t="s">
        <v>2795</v>
      </c>
      <c r="B16" s="6" t="s">
        <v>110</v>
      </c>
      <c r="C16" s="6" t="s">
        <v>2796</v>
      </c>
      <c r="D16" s="6" t="s">
        <v>2749</v>
      </c>
      <c r="E16" s="6" t="s">
        <v>2756</v>
      </c>
      <c r="F16" s="6" t="s">
        <v>2797</v>
      </c>
    </row>
    <row r="17" customFormat="false" ht="15" hidden="false" customHeight="false" outlineLevel="0" collapsed="false">
      <c r="A17" s="5" t="s">
        <v>2798</v>
      </c>
      <c r="B17" s="5" t="s">
        <v>2799</v>
      </c>
      <c r="C17" s="5" t="s">
        <v>2800</v>
      </c>
      <c r="D17" s="5" t="s">
        <v>2749</v>
      </c>
      <c r="E17" s="5" t="s">
        <v>2750</v>
      </c>
      <c r="F17" s="5" t="s">
        <v>2801</v>
      </c>
    </row>
    <row r="18" customFormat="false" ht="15" hidden="false" customHeight="false" outlineLevel="0" collapsed="false">
      <c r="A18" s="5" t="s">
        <v>2802</v>
      </c>
      <c r="B18" s="5" t="s">
        <v>2803</v>
      </c>
      <c r="C18" s="5" t="s">
        <v>2804</v>
      </c>
      <c r="D18" s="5" t="s">
        <v>2784</v>
      </c>
      <c r="E18" s="5" t="s">
        <v>2750</v>
      </c>
      <c r="F18" s="5"/>
    </row>
    <row r="19" customFormat="false" ht="23.85" hidden="false" customHeight="false" outlineLevel="0" collapsed="false">
      <c r="A19" s="5" t="s">
        <v>2805</v>
      </c>
      <c r="B19" s="5" t="s">
        <v>152</v>
      </c>
      <c r="C19" s="5" t="s">
        <v>2806</v>
      </c>
      <c r="D19" s="5" t="s">
        <v>2807</v>
      </c>
      <c r="E19" s="5" t="s">
        <v>2750</v>
      </c>
      <c r="F19" s="5"/>
    </row>
    <row r="20" customFormat="false" ht="57.45" hidden="false" customHeight="false" outlineLevel="0" collapsed="false">
      <c r="A20" s="5" t="s">
        <v>2808</v>
      </c>
      <c r="B20" s="5" t="s">
        <v>2809</v>
      </c>
      <c r="C20" s="5" t="s">
        <v>2810</v>
      </c>
      <c r="D20" s="5" t="s">
        <v>2749</v>
      </c>
      <c r="E20" s="5" t="s">
        <v>2750</v>
      </c>
      <c r="F20" s="5"/>
    </row>
    <row r="21" customFormat="false" ht="35.05" hidden="false" customHeight="false" outlineLevel="0" collapsed="false">
      <c r="A21" s="6" t="s">
        <v>2811</v>
      </c>
      <c r="B21" s="6" t="s">
        <v>17</v>
      </c>
      <c r="C21" s="6" t="s">
        <v>2812</v>
      </c>
      <c r="D21" s="6" t="s">
        <v>2813</v>
      </c>
      <c r="E21" s="6" t="s">
        <v>2756</v>
      </c>
      <c r="F21" s="6" t="s">
        <v>2814</v>
      </c>
    </row>
    <row r="22" customFormat="false" ht="35.05" hidden="false" customHeight="false" outlineLevel="0" collapsed="false">
      <c r="A22" s="5" t="s">
        <v>2815</v>
      </c>
      <c r="B22" s="5" t="s">
        <v>2816</v>
      </c>
      <c r="C22" s="5" t="s">
        <v>2817</v>
      </c>
      <c r="D22" s="5" t="s">
        <v>2749</v>
      </c>
      <c r="E22" s="5" t="s">
        <v>2750</v>
      </c>
      <c r="F22" s="5"/>
    </row>
    <row r="23" customFormat="false" ht="23.85" hidden="false" customHeight="false" outlineLevel="0" collapsed="false">
      <c r="A23" s="5" t="s">
        <v>2818</v>
      </c>
      <c r="B23" s="5" t="s">
        <v>2819</v>
      </c>
      <c r="C23" s="5" t="s">
        <v>2820</v>
      </c>
      <c r="D23" s="5" t="s">
        <v>2749</v>
      </c>
      <c r="E23" s="5" t="s">
        <v>2750</v>
      </c>
      <c r="F23" s="5"/>
    </row>
    <row r="24" customFormat="false" ht="23.85" hidden="false" customHeight="false" outlineLevel="0" collapsed="false">
      <c r="A24" s="5" t="s">
        <v>2821</v>
      </c>
      <c r="B24" s="5" t="s">
        <v>2822</v>
      </c>
      <c r="C24" s="5" t="s">
        <v>2823</v>
      </c>
      <c r="D24" s="5" t="s">
        <v>2749</v>
      </c>
      <c r="E24" s="5" t="s">
        <v>2750</v>
      </c>
      <c r="F24" s="5"/>
    </row>
    <row r="25" customFormat="false" ht="35.05" hidden="false" customHeight="false" outlineLevel="0" collapsed="false">
      <c r="A25" s="5" t="s">
        <v>2824</v>
      </c>
      <c r="B25" s="5" t="s">
        <v>2825</v>
      </c>
      <c r="C25" s="5" t="s">
        <v>2826</v>
      </c>
      <c r="D25" s="5" t="s">
        <v>2749</v>
      </c>
      <c r="E25" s="5" t="s">
        <v>2750</v>
      </c>
      <c r="F25" s="5"/>
    </row>
    <row r="26" customFormat="false" ht="23.85" hidden="false" customHeight="false" outlineLevel="0" collapsed="false">
      <c r="A26" s="5" t="s">
        <v>2827</v>
      </c>
      <c r="B26" s="5" t="s">
        <v>2828</v>
      </c>
      <c r="C26" s="5" t="s">
        <v>2829</v>
      </c>
      <c r="D26" s="5" t="s">
        <v>2254</v>
      </c>
      <c r="E26" s="5" t="s">
        <v>2750</v>
      </c>
      <c r="F26" s="5"/>
    </row>
    <row r="27" customFormat="false" ht="23.85" hidden="false" customHeight="false" outlineLevel="0" collapsed="false">
      <c r="A27" s="5" t="s">
        <v>2830</v>
      </c>
      <c r="B27" s="5" t="s">
        <v>2831</v>
      </c>
      <c r="C27" s="5" t="s">
        <v>2832</v>
      </c>
      <c r="D27" s="5" t="s">
        <v>2254</v>
      </c>
      <c r="E27" s="5" t="s">
        <v>2750</v>
      </c>
      <c r="F27" s="5"/>
    </row>
    <row r="28" customFormat="false" ht="23.85" hidden="false" customHeight="false" outlineLevel="0" collapsed="false">
      <c r="A28" s="5" t="s">
        <v>2833</v>
      </c>
      <c r="B28" s="5" t="s">
        <v>2834</v>
      </c>
      <c r="C28" s="5" t="s">
        <v>2835</v>
      </c>
      <c r="D28" s="5" t="s">
        <v>2836</v>
      </c>
      <c r="E28" s="5" t="s">
        <v>2750</v>
      </c>
      <c r="F28" s="5"/>
    </row>
    <row r="29" customFormat="false" ht="23.85" hidden="false" customHeight="false" outlineLevel="0" collapsed="false">
      <c r="A29" s="5" t="s">
        <v>2837</v>
      </c>
      <c r="B29" s="5" t="s">
        <v>2838</v>
      </c>
      <c r="C29" s="5" t="s">
        <v>2839</v>
      </c>
      <c r="D29" s="5" t="s">
        <v>2749</v>
      </c>
      <c r="E29" s="5" t="s">
        <v>2750</v>
      </c>
      <c r="F29" s="5" t="s">
        <v>2840</v>
      </c>
    </row>
    <row r="30" customFormat="false" ht="23.85" hidden="false" customHeight="false" outlineLevel="0" collapsed="false">
      <c r="A30" s="5" t="s">
        <v>2841</v>
      </c>
      <c r="B30" s="5" t="s">
        <v>2842</v>
      </c>
      <c r="C30" s="5" t="s">
        <v>2843</v>
      </c>
      <c r="D30" s="5" t="s">
        <v>2844</v>
      </c>
      <c r="E30" s="5" t="s">
        <v>2750</v>
      </c>
      <c r="F30" s="5" t="s">
        <v>2845</v>
      </c>
    </row>
    <row r="31" customFormat="false" ht="23.85" hidden="false" customHeight="false" outlineLevel="0" collapsed="false">
      <c r="A31" s="5" t="s">
        <v>2846</v>
      </c>
      <c r="B31" s="5" t="s">
        <v>2847</v>
      </c>
      <c r="C31" s="5" t="s">
        <v>2848</v>
      </c>
      <c r="D31" s="5" t="s">
        <v>2749</v>
      </c>
      <c r="E31" s="5" t="s">
        <v>2750</v>
      </c>
      <c r="F31" s="5"/>
    </row>
    <row r="32" customFormat="false" ht="46.25" hidden="false" customHeight="false" outlineLevel="0" collapsed="false">
      <c r="A32" s="6" t="s">
        <v>2849</v>
      </c>
      <c r="B32" s="6" t="s">
        <v>2850</v>
      </c>
      <c r="C32" s="6" t="s">
        <v>2851</v>
      </c>
      <c r="D32" s="6" t="s">
        <v>2784</v>
      </c>
      <c r="E32" s="6" t="s">
        <v>2852</v>
      </c>
      <c r="F32" s="6" t="s">
        <v>2853</v>
      </c>
    </row>
  </sheetData>
  <autoFilter ref="A1:F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4" min="3" style="0" width="60"/>
    <col collapsed="false" customWidth="true" hidden="false" outlineLevel="0" max="5" min="5" style="0" width="20"/>
    <col collapsed="false" customWidth="true" hidden="false" outlineLevel="0" max="6" min="6" style="0" width="11"/>
  </cols>
  <sheetData>
    <row r="1" customFormat="false" ht="30" hidden="false" customHeight="true" outlineLevel="0" collapsed="false">
      <c r="A1" s="4" t="s">
        <v>2854</v>
      </c>
      <c r="B1" s="4" t="s">
        <v>2742</v>
      </c>
      <c r="C1" s="4" t="s">
        <v>2855</v>
      </c>
      <c r="D1" s="4" t="s">
        <v>2856</v>
      </c>
      <c r="E1" s="4" t="s">
        <v>2857</v>
      </c>
      <c r="F1" s="4" t="s">
        <v>2858</v>
      </c>
    </row>
    <row r="2" customFormat="false" ht="23.85" hidden="false" customHeight="false" outlineLevel="0" collapsed="false">
      <c r="A2" s="5" t="s">
        <v>2859</v>
      </c>
      <c r="B2" s="5" t="s">
        <v>2860</v>
      </c>
      <c r="C2" s="5" t="s">
        <v>2861</v>
      </c>
      <c r="D2" s="5" t="s">
        <v>2862</v>
      </c>
      <c r="E2" s="5" t="s">
        <v>2684</v>
      </c>
      <c r="F2" s="5" t="s">
        <v>2863</v>
      </c>
    </row>
    <row r="3" customFormat="false" ht="23.85" hidden="false" customHeight="false" outlineLevel="0" collapsed="false">
      <c r="A3" s="5" t="s">
        <v>1979</v>
      </c>
      <c r="B3" s="5" t="s">
        <v>2864</v>
      </c>
      <c r="C3" s="5" t="s">
        <v>2865</v>
      </c>
      <c r="D3" s="5" t="s">
        <v>2866</v>
      </c>
      <c r="E3" s="5" t="s">
        <v>2867</v>
      </c>
      <c r="F3" s="5" t="s">
        <v>2868</v>
      </c>
    </row>
    <row r="4" customFormat="false" ht="35.05" hidden="false" customHeight="false" outlineLevel="0" collapsed="false">
      <c r="A4" s="5" t="s">
        <v>1979</v>
      </c>
      <c r="B4" s="5" t="s">
        <v>2869</v>
      </c>
      <c r="C4" s="5" t="s">
        <v>2870</v>
      </c>
      <c r="D4" s="5" t="s">
        <v>2871</v>
      </c>
      <c r="E4" s="5" t="s">
        <v>2872</v>
      </c>
      <c r="F4" s="5" t="s">
        <v>2863</v>
      </c>
    </row>
    <row r="5" customFormat="false" ht="23.85" hidden="false" customHeight="false" outlineLevel="0" collapsed="false">
      <c r="A5" s="6" t="s">
        <v>1979</v>
      </c>
      <c r="B5" s="6" t="s">
        <v>2873</v>
      </c>
      <c r="C5" s="6" t="s">
        <v>2874</v>
      </c>
      <c r="D5" s="6" t="s">
        <v>2875</v>
      </c>
      <c r="E5" s="6" t="s">
        <v>169</v>
      </c>
      <c r="F5" s="6" t="s">
        <v>1928</v>
      </c>
    </row>
    <row r="6" customFormat="false" ht="23.85" hidden="false" customHeight="false" outlineLevel="0" collapsed="false">
      <c r="A6" s="5" t="s">
        <v>1979</v>
      </c>
      <c r="B6" s="5" t="s">
        <v>2876</v>
      </c>
      <c r="C6" s="5" t="s">
        <v>2877</v>
      </c>
      <c r="D6" s="5" t="s">
        <v>2878</v>
      </c>
      <c r="E6" s="5" t="s">
        <v>2879</v>
      </c>
      <c r="F6" s="5" t="s">
        <v>2863</v>
      </c>
    </row>
    <row r="7" customFormat="false" ht="23.85" hidden="false" customHeight="false" outlineLevel="0" collapsed="false">
      <c r="A7" s="5" t="s">
        <v>687</v>
      </c>
      <c r="B7" s="5" t="s">
        <v>2880</v>
      </c>
      <c r="C7" s="5" t="s">
        <v>2881</v>
      </c>
      <c r="D7" s="5" t="s">
        <v>2882</v>
      </c>
      <c r="E7" s="5" t="s">
        <v>2883</v>
      </c>
      <c r="F7" s="5" t="s">
        <v>2868</v>
      </c>
    </row>
    <row r="8" customFormat="false" ht="15" hidden="false" customHeight="false" outlineLevel="0" collapsed="false">
      <c r="A8" s="5" t="s">
        <v>687</v>
      </c>
      <c r="B8" s="5" t="s">
        <v>2884</v>
      </c>
      <c r="C8" s="5" t="s">
        <v>2885</v>
      </c>
      <c r="D8" s="5" t="s">
        <v>2886</v>
      </c>
      <c r="E8" s="5" t="s">
        <v>2887</v>
      </c>
      <c r="F8" s="5" t="s">
        <v>2863</v>
      </c>
    </row>
    <row r="9" customFormat="false" ht="15" hidden="false" customHeight="false" outlineLevel="0" collapsed="false">
      <c r="A9" s="5" t="s">
        <v>2888</v>
      </c>
      <c r="B9" s="5" t="s">
        <v>2026</v>
      </c>
      <c r="C9" s="5" t="s">
        <v>2889</v>
      </c>
      <c r="D9" s="5" t="s">
        <v>2890</v>
      </c>
      <c r="E9" s="5" t="s">
        <v>123</v>
      </c>
      <c r="F9" s="5" t="s">
        <v>2868</v>
      </c>
    </row>
    <row r="10" customFormat="false" ht="15" hidden="false" customHeight="false" outlineLevel="0" collapsed="false">
      <c r="A10" s="5" t="s">
        <v>219</v>
      </c>
      <c r="B10" s="5" t="s">
        <v>2891</v>
      </c>
      <c r="C10" s="5" t="s">
        <v>2892</v>
      </c>
      <c r="D10" s="5" t="s">
        <v>2893</v>
      </c>
      <c r="E10" s="5" t="s">
        <v>1814</v>
      </c>
      <c r="F10" s="5" t="s">
        <v>2894</v>
      </c>
    </row>
    <row r="11" customFormat="false" ht="23.85" hidden="false" customHeight="false" outlineLevel="0" collapsed="false">
      <c r="A11" s="5" t="s">
        <v>230</v>
      </c>
      <c r="B11" s="5" t="s">
        <v>2895</v>
      </c>
      <c r="C11" s="5" t="s">
        <v>2896</v>
      </c>
      <c r="D11" s="5" t="s">
        <v>2897</v>
      </c>
      <c r="E11" s="5" t="s">
        <v>1919</v>
      </c>
      <c r="F11" s="5" t="s">
        <v>2868</v>
      </c>
    </row>
    <row r="12" customFormat="false" ht="15" hidden="false" customHeight="false" outlineLevel="0" collapsed="false">
      <c r="A12" s="5" t="s">
        <v>230</v>
      </c>
      <c r="B12" s="5" t="s">
        <v>2898</v>
      </c>
      <c r="C12" s="5" t="s">
        <v>2899</v>
      </c>
      <c r="D12" s="5" t="s">
        <v>2900</v>
      </c>
      <c r="E12" s="5" t="s">
        <v>1925</v>
      </c>
      <c r="F12" s="5" t="s">
        <v>2863</v>
      </c>
    </row>
    <row r="13" customFormat="false" ht="15" hidden="false" customHeight="false" outlineLevel="0" collapsed="false">
      <c r="A13" s="5" t="s">
        <v>1918</v>
      </c>
      <c r="B13" s="5" t="s">
        <v>1622</v>
      </c>
      <c r="C13" s="5" t="s">
        <v>2901</v>
      </c>
      <c r="D13" s="5" t="s">
        <v>2902</v>
      </c>
      <c r="E13" s="5" t="s">
        <v>2903</v>
      </c>
      <c r="F13" s="5" t="s">
        <v>2868</v>
      </c>
    </row>
    <row r="14" customFormat="false" ht="15" hidden="false" customHeight="false" outlineLevel="0" collapsed="false">
      <c r="A14" s="5" t="s">
        <v>260</v>
      </c>
      <c r="B14" s="5" t="s">
        <v>1626</v>
      </c>
      <c r="C14" s="5" t="s">
        <v>2904</v>
      </c>
      <c r="D14" s="5" t="s">
        <v>2905</v>
      </c>
      <c r="E14" s="5" t="s">
        <v>1922</v>
      </c>
      <c r="F14" s="5" t="s">
        <v>2868</v>
      </c>
    </row>
    <row r="15" customFormat="false" ht="15" hidden="false" customHeight="false" outlineLevel="0" collapsed="false">
      <c r="A15" s="5" t="s">
        <v>270</v>
      </c>
      <c r="B15" s="5" t="s">
        <v>2906</v>
      </c>
      <c r="C15" s="5" t="s">
        <v>2907</v>
      </c>
      <c r="D15" s="5" t="s">
        <v>2908</v>
      </c>
      <c r="E15" s="5" t="s">
        <v>1929</v>
      </c>
      <c r="F15" s="5" t="s">
        <v>2863</v>
      </c>
    </row>
    <row r="16" customFormat="false" ht="15" hidden="false" customHeight="false" outlineLevel="0" collapsed="false">
      <c r="A16" s="6" t="s">
        <v>2909</v>
      </c>
      <c r="B16" s="6" t="s">
        <v>2910</v>
      </c>
      <c r="C16" s="6" t="s">
        <v>2911</v>
      </c>
      <c r="D16" s="6" t="s">
        <v>2912</v>
      </c>
      <c r="E16" s="6" t="s">
        <v>169</v>
      </c>
      <c r="F16" s="6" t="s">
        <v>640</v>
      </c>
    </row>
    <row r="17" customFormat="false" ht="35.05" hidden="false" customHeight="false" outlineLevel="0" collapsed="false">
      <c r="A17" s="5" t="s">
        <v>279</v>
      </c>
      <c r="B17" s="5" t="s">
        <v>2913</v>
      </c>
      <c r="C17" s="5" t="s">
        <v>2914</v>
      </c>
      <c r="D17" s="5" t="s">
        <v>2915</v>
      </c>
      <c r="E17" s="5" t="s">
        <v>2916</v>
      </c>
      <c r="F17" s="5" t="s">
        <v>2868</v>
      </c>
    </row>
    <row r="18" customFormat="false" ht="23.85" hidden="false" customHeight="false" outlineLevel="0" collapsed="false">
      <c r="A18" s="5" t="s">
        <v>2917</v>
      </c>
      <c r="B18" s="5" t="s">
        <v>2918</v>
      </c>
      <c r="C18" s="5" t="s">
        <v>2919</v>
      </c>
      <c r="D18" s="5" t="s">
        <v>2920</v>
      </c>
      <c r="E18" s="5" t="s">
        <v>2921</v>
      </c>
      <c r="F18" s="5" t="s">
        <v>2863</v>
      </c>
    </row>
    <row r="19" customFormat="false" ht="15" hidden="false" customHeight="false" outlineLevel="0" collapsed="false">
      <c r="A19" s="5" t="s">
        <v>319</v>
      </c>
      <c r="B19" s="5" t="s">
        <v>2922</v>
      </c>
      <c r="C19" s="5" t="s">
        <v>2923</v>
      </c>
      <c r="D19" s="5" t="s">
        <v>2924</v>
      </c>
      <c r="E19" s="5" t="s">
        <v>1817</v>
      </c>
      <c r="F19" s="5" t="s">
        <v>2868</v>
      </c>
    </row>
    <row r="20" customFormat="false" ht="23.85" hidden="false" customHeight="false" outlineLevel="0" collapsed="false">
      <c r="A20" s="5" t="s">
        <v>2005</v>
      </c>
      <c r="B20" s="5" t="s">
        <v>646</v>
      </c>
      <c r="C20" s="5" t="s">
        <v>2925</v>
      </c>
      <c r="D20" s="5" t="s">
        <v>2926</v>
      </c>
      <c r="E20" s="5" t="s">
        <v>2927</v>
      </c>
      <c r="F20" s="5" t="s">
        <v>2868</v>
      </c>
    </row>
    <row r="21" customFormat="false" ht="15" hidden="false" customHeight="false" outlineLevel="0" collapsed="false">
      <c r="A21" s="6" t="s">
        <v>2005</v>
      </c>
      <c r="B21" s="6" t="s">
        <v>2928</v>
      </c>
      <c r="C21" s="6" t="s">
        <v>2929</v>
      </c>
      <c r="D21" s="6" t="s">
        <v>2930</v>
      </c>
      <c r="E21" s="6" t="s">
        <v>169</v>
      </c>
      <c r="F21" s="6" t="s">
        <v>640</v>
      </c>
    </row>
    <row r="22" customFormat="false" ht="15" hidden="false" customHeight="false" outlineLevel="0" collapsed="false">
      <c r="A22" s="5" t="s">
        <v>2013</v>
      </c>
      <c r="B22" s="5" t="s">
        <v>2931</v>
      </c>
      <c r="C22" s="5" t="s">
        <v>2932</v>
      </c>
      <c r="D22" s="5" t="s">
        <v>2933</v>
      </c>
      <c r="E22" s="5" t="s">
        <v>2009</v>
      </c>
      <c r="F22" s="5" t="s">
        <v>2868</v>
      </c>
    </row>
    <row r="23" customFormat="false" ht="23.85" hidden="false" customHeight="false" outlineLevel="0" collapsed="false">
      <c r="A23" s="5" t="s">
        <v>2934</v>
      </c>
      <c r="B23" s="5" t="s">
        <v>2935</v>
      </c>
      <c r="C23" s="5" t="s">
        <v>2936</v>
      </c>
      <c r="D23" s="5" t="s">
        <v>2937</v>
      </c>
      <c r="E23" s="5" t="s">
        <v>1779</v>
      </c>
      <c r="F23" s="5" t="s">
        <v>2868</v>
      </c>
    </row>
    <row r="24" customFormat="false" ht="23.85" hidden="false" customHeight="false" outlineLevel="0" collapsed="false">
      <c r="A24" s="5" t="s">
        <v>2938</v>
      </c>
      <c r="B24" s="5" t="s">
        <v>2939</v>
      </c>
      <c r="C24" s="5" t="s">
        <v>2940</v>
      </c>
      <c r="D24" s="5" t="s">
        <v>2941</v>
      </c>
      <c r="E24" s="5" t="s">
        <v>123</v>
      </c>
      <c r="F24" s="5" t="s">
        <v>2868</v>
      </c>
    </row>
    <row r="25" customFormat="false" ht="23.85" hidden="false" customHeight="false" outlineLevel="0" collapsed="false">
      <c r="A25" s="5" t="s">
        <v>1987</v>
      </c>
      <c r="B25" s="5" t="s">
        <v>2942</v>
      </c>
      <c r="C25" s="5" t="s">
        <v>2943</v>
      </c>
      <c r="D25" s="5" t="s">
        <v>2944</v>
      </c>
      <c r="E25" s="5" t="s">
        <v>2945</v>
      </c>
      <c r="F25" s="5" t="s">
        <v>2863</v>
      </c>
    </row>
    <row r="26" customFormat="false" ht="15" hidden="false" customHeight="false" outlineLevel="0" collapsed="false">
      <c r="A26" s="5" t="s">
        <v>1992</v>
      </c>
      <c r="B26" s="5" t="s">
        <v>2946</v>
      </c>
      <c r="C26" s="5" t="s">
        <v>2947</v>
      </c>
      <c r="D26" s="5" t="s">
        <v>2948</v>
      </c>
      <c r="E26" s="5" t="s">
        <v>1988</v>
      </c>
      <c r="F26" s="5" t="s">
        <v>2863</v>
      </c>
    </row>
    <row r="27" customFormat="false" ht="23.85" hidden="false" customHeight="false" outlineLevel="0" collapsed="false">
      <c r="A27" s="6" t="s">
        <v>2949</v>
      </c>
      <c r="B27" s="6" t="s">
        <v>2950</v>
      </c>
      <c r="C27" s="6" t="s">
        <v>2951</v>
      </c>
      <c r="D27" s="6" t="s">
        <v>2952</v>
      </c>
      <c r="E27" s="6" t="s">
        <v>169</v>
      </c>
      <c r="F27" s="6" t="s">
        <v>1928</v>
      </c>
    </row>
    <row r="28" customFormat="false" ht="15" hidden="false" customHeight="false" outlineLevel="0" collapsed="false">
      <c r="A28" s="5" t="s">
        <v>645</v>
      </c>
      <c r="B28" s="5" t="s">
        <v>2953</v>
      </c>
      <c r="C28" s="5" t="s">
        <v>2954</v>
      </c>
      <c r="D28" s="5" t="s">
        <v>2955</v>
      </c>
      <c r="E28" s="5" t="s">
        <v>2956</v>
      </c>
      <c r="F28" s="5" t="s">
        <v>2868</v>
      </c>
    </row>
    <row r="29" customFormat="false" ht="35.05" hidden="false" customHeight="false" outlineLevel="0" collapsed="false">
      <c r="A29" s="5" t="s">
        <v>1849</v>
      </c>
      <c r="B29" s="5" t="s">
        <v>2957</v>
      </c>
      <c r="C29" s="5" t="s">
        <v>2958</v>
      </c>
      <c r="D29" s="5" t="s">
        <v>2959</v>
      </c>
      <c r="E29" s="5" t="s">
        <v>2960</v>
      </c>
      <c r="F29" s="5" t="s">
        <v>2868</v>
      </c>
    </row>
    <row r="30" customFormat="false" ht="15" hidden="false" customHeight="false" outlineLevel="0" collapsed="false">
      <c r="A30" s="5" t="s">
        <v>599</v>
      </c>
      <c r="B30" s="5" t="s">
        <v>2961</v>
      </c>
      <c r="C30" s="5" t="s">
        <v>2962</v>
      </c>
      <c r="D30" s="5" t="s">
        <v>2963</v>
      </c>
      <c r="E30" s="5" t="s">
        <v>1998</v>
      </c>
      <c r="F30" s="5" t="s">
        <v>2863</v>
      </c>
    </row>
    <row r="31" customFormat="false" ht="15" hidden="false" customHeight="false" outlineLevel="0" collapsed="false">
      <c r="A31" s="5" t="s">
        <v>655</v>
      </c>
      <c r="B31" s="5" t="s">
        <v>2964</v>
      </c>
      <c r="C31" s="5" t="s">
        <v>2965</v>
      </c>
      <c r="D31" s="5" t="s">
        <v>2966</v>
      </c>
      <c r="E31" s="5" t="s">
        <v>1964</v>
      </c>
      <c r="F31" s="5" t="s">
        <v>2863</v>
      </c>
    </row>
    <row r="32" customFormat="false" ht="23.85" hidden="false" customHeight="false" outlineLevel="0" collapsed="false">
      <c r="A32" s="5" t="s">
        <v>2967</v>
      </c>
      <c r="B32" s="5" t="s">
        <v>2968</v>
      </c>
      <c r="C32" s="5" t="s">
        <v>2969</v>
      </c>
      <c r="D32" s="5" t="s">
        <v>2970</v>
      </c>
      <c r="E32" s="5" t="s">
        <v>2971</v>
      </c>
      <c r="F32" s="5" t="s">
        <v>2868</v>
      </c>
    </row>
    <row r="33" customFormat="false" ht="15" hidden="false" customHeight="false" outlineLevel="0" collapsed="false">
      <c r="A33" s="5" t="s">
        <v>1854</v>
      </c>
      <c r="B33" s="5" t="s">
        <v>2972</v>
      </c>
      <c r="C33" s="5" t="s">
        <v>2973</v>
      </c>
      <c r="D33" s="5" t="s">
        <v>2974</v>
      </c>
      <c r="E33" s="5" t="s">
        <v>2975</v>
      </c>
      <c r="F33" s="5" t="s">
        <v>2863</v>
      </c>
    </row>
    <row r="34" customFormat="false" ht="23.85" hidden="false" customHeight="false" outlineLevel="0" collapsed="false">
      <c r="A34" s="5" t="s">
        <v>664</v>
      </c>
      <c r="B34" s="5" t="s">
        <v>2976</v>
      </c>
      <c r="C34" s="5" t="s">
        <v>2977</v>
      </c>
      <c r="D34" s="5" t="s">
        <v>2978</v>
      </c>
      <c r="E34" s="5" t="s">
        <v>2979</v>
      </c>
      <c r="F34" s="5" t="s">
        <v>2868</v>
      </c>
    </row>
    <row r="35" customFormat="false" ht="15" hidden="false" customHeight="false" outlineLevel="0" collapsed="false">
      <c r="A35" s="5" t="s">
        <v>606</v>
      </c>
      <c r="B35" s="5" t="s">
        <v>2980</v>
      </c>
      <c r="C35" s="5" t="s">
        <v>2981</v>
      </c>
      <c r="D35" s="5" t="s">
        <v>2982</v>
      </c>
      <c r="E35" s="5" t="s">
        <v>1873</v>
      </c>
      <c r="F35" s="5" t="s">
        <v>2868</v>
      </c>
    </row>
    <row r="36" customFormat="false" ht="23.85" hidden="false" customHeight="false" outlineLevel="0" collapsed="false">
      <c r="A36" s="5" t="s">
        <v>1878</v>
      </c>
      <c r="B36" s="5" t="s">
        <v>2983</v>
      </c>
      <c r="C36" s="5" t="s">
        <v>2984</v>
      </c>
      <c r="D36" s="5" t="s">
        <v>2985</v>
      </c>
      <c r="E36" s="5" t="s">
        <v>2986</v>
      </c>
      <c r="F36" s="5" t="s">
        <v>2868</v>
      </c>
    </row>
    <row r="37" customFormat="false" ht="15" hidden="false" customHeight="false" outlineLevel="0" collapsed="false">
      <c r="A37" s="5" t="s">
        <v>628</v>
      </c>
      <c r="B37" s="5" t="s">
        <v>2987</v>
      </c>
      <c r="C37" s="5" t="s">
        <v>2988</v>
      </c>
      <c r="D37" s="5" t="s">
        <v>2989</v>
      </c>
      <c r="E37" s="5" t="s">
        <v>1993</v>
      </c>
      <c r="F37" s="5" t="s">
        <v>2868</v>
      </c>
    </row>
    <row r="38" customFormat="false" ht="15" hidden="false" customHeight="false" outlineLevel="0" collapsed="false">
      <c r="A38" s="5" t="s">
        <v>680</v>
      </c>
      <c r="B38" s="5" t="s">
        <v>681</v>
      </c>
      <c r="C38" s="5" t="s">
        <v>2990</v>
      </c>
      <c r="D38" s="5" t="s">
        <v>2991</v>
      </c>
      <c r="E38" s="5" t="s">
        <v>2992</v>
      </c>
      <c r="F38" s="5" t="s">
        <v>2868</v>
      </c>
    </row>
    <row r="39" customFormat="false" ht="23.85" hidden="false" customHeight="false" outlineLevel="0" collapsed="false">
      <c r="A39" s="5" t="s">
        <v>694</v>
      </c>
      <c r="B39" s="5" t="s">
        <v>2993</v>
      </c>
      <c r="C39" s="5" t="s">
        <v>2994</v>
      </c>
      <c r="D39" s="5" t="s">
        <v>2995</v>
      </c>
      <c r="E39" s="5" t="s">
        <v>2996</v>
      </c>
      <c r="F39" s="5" t="s">
        <v>2863</v>
      </c>
    </row>
    <row r="40" customFormat="false" ht="15" hidden="false" customHeight="false" outlineLevel="0" collapsed="false">
      <c r="A40" s="6" t="s">
        <v>2997</v>
      </c>
      <c r="B40" s="6" t="s">
        <v>2998</v>
      </c>
      <c r="C40" s="6" t="s">
        <v>2999</v>
      </c>
      <c r="D40" s="6" t="s">
        <v>3000</v>
      </c>
      <c r="E40" s="6" t="s">
        <v>169</v>
      </c>
      <c r="F40" s="6" t="s">
        <v>1928</v>
      </c>
    </row>
    <row r="41" customFormat="false" ht="23.85" hidden="false" customHeight="false" outlineLevel="0" collapsed="false">
      <c r="A41" s="5" t="s">
        <v>3001</v>
      </c>
      <c r="B41" s="5" t="s">
        <v>3002</v>
      </c>
      <c r="C41" s="5" t="s">
        <v>3003</v>
      </c>
      <c r="D41" s="5" t="s">
        <v>3004</v>
      </c>
      <c r="E41" s="5" t="s">
        <v>3005</v>
      </c>
      <c r="F41" s="5" t="s">
        <v>3006</v>
      </c>
    </row>
    <row r="42" customFormat="false" ht="23.85" hidden="false" customHeight="false" outlineLevel="0" collapsed="false">
      <c r="A42" s="5" t="s">
        <v>2859</v>
      </c>
      <c r="B42" s="5" t="s">
        <v>25</v>
      </c>
      <c r="C42" s="5" t="s">
        <v>3007</v>
      </c>
      <c r="D42" s="5" t="s">
        <v>3008</v>
      </c>
      <c r="E42" s="5" t="s">
        <v>2709</v>
      </c>
      <c r="F42" s="5" t="s">
        <v>3006</v>
      </c>
    </row>
    <row r="43" customFormat="false" ht="23.85" hidden="false" customHeight="false" outlineLevel="0" collapsed="false">
      <c r="A43" s="5" t="s">
        <v>687</v>
      </c>
      <c r="B43" s="5" t="s">
        <v>3009</v>
      </c>
      <c r="C43" s="5" t="s">
        <v>3010</v>
      </c>
      <c r="D43" s="5" t="s">
        <v>3011</v>
      </c>
      <c r="E43" s="5" t="s">
        <v>2709</v>
      </c>
      <c r="F43" s="5" t="s">
        <v>3006</v>
      </c>
    </row>
    <row r="44" customFormat="false" ht="23.85" hidden="false" customHeight="false" outlineLevel="0" collapsed="false">
      <c r="A44" s="5" t="s">
        <v>1997</v>
      </c>
      <c r="B44" s="5" t="s">
        <v>156</v>
      </c>
      <c r="C44" s="5" t="s">
        <v>3012</v>
      </c>
      <c r="D44" s="5" t="s">
        <v>3013</v>
      </c>
      <c r="E44" s="5" t="s">
        <v>3014</v>
      </c>
      <c r="F44" s="5" t="s">
        <v>3006</v>
      </c>
    </row>
    <row r="45" customFormat="false" ht="23.85" hidden="false" customHeight="false" outlineLevel="0" collapsed="false">
      <c r="A45" s="5" t="s">
        <v>694</v>
      </c>
      <c r="B45" s="5" t="s">
        <v>3015</v>
      </c>
      <c r="C45" s="5" t="s">
        <v>3016</v>
      </c>
      <c r="D45" s="5" t="s">
        <v>3017</v>
      </c>
      <c r="E45" s="5" t="s">
        <v>3018</v>
      </c>
      <c r="F45" s="5" t="s">
        <v>3006</v>
      </c>
    </row>
  </sheetData>
  <autoFilter ref="A1:F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2026-10-26T12:32:11Z</dcterms:created>
  <dc:creator>openpyxl</dc:creator>
  <dc:description/>
  <dc:language>en-US</dc:language>
  <cp:lastModifiedBy/>
  <dcterms:modified xsi:type="dcterms:W3CDTF">2026-10-26T12:32:11Z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