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ields" sheetId="2" state="visible" r:id="rId4"/>
    <sheet name="Lists" sheetId="3" state="visible" r:id="rId5"/>
    <sheet name="Payers" sheetId="4" state="visible" r:id="rId6"/>
    <sheet name="BillingEntities" sheetId="5" state="visible" r:id="rId7"/>
    <sheet name="ServiceCodes" sheetId="6" state="visible" r:id="rId8"/>
    <sheet name="Trends" sheetId="7" state="visible" r:id="rId9"/>
    <sheet name="Observed lines" sheetId="8" state="visible" r:id="rId10"/>
    <sheet name="Learning rules" sheetId="9" state="visible" r:id="rId11"/>
    <sheet name="Validation rules" sheetId="10" state="visible" r:id="rId12"/>
    <sheet name="Workflow" sheetId="11" state="visible" r:id="rId13"/>
    <sheet name="Data model" sheetId="12" state="visible" r:id="rId14"/>
    <sheet name="API" sheetId="13" state="visible" r:id="rId15"/>
    <sheet name="Backlog" sheetId="14" state="visible" r:id="rId16"/>
    <sheet name="Open questions" sheetId="15" state="visible" r:id="rId17"/>
  </sheets>
  <definedNames>
    <definedName function="false" hidden="true" localSheetId="12" name="_xlnm._FilterDatabase" vbProcedure="false">API!$A$1:$F$35</definedName>
    <definedName function="false" hidden="true" localSheetId="13" name="_xlnm._FilterDatabase" vbProcedure="false">Backlog!$A$1:$F$33</definedName>
    <definedName function="false" hidden="true" localSheetId="4" name="_xlnm._FilterDatabase" vbProcedure="false">BillingEntities!$A$1:$O$3</definedName>
    <definedName function="false" hidden="true" localSheetId="11" name="_xlnm._FilterDatabase" vbProcedure="false">'Data model'!$A$1:$E$122</definedName>
    <definedName function="false" hidden="true" localSheetId="1" name="_xlnm._FilterDatabase" vbProcedure="false">Fields!$A$1:$M$86</definedName>
    <definedName function="false" hidden="true" localSheetId="8" name="_xlnm._FilterDatabase" vbProcedure="false">'Learning rules'!$A$1:$D$16</definedName>
    <definedName function="false" hidden="true" localSheetId="2" name="_xlnm._FilterDatabase" vbProcedure="false">Lists!$A$1:$G$169</definedName>
    <definedName function="false" hidden="true" localSheetId="7" name="_xlnm._FilterDatabase" vbProcedure="false">'Observed lines'!$A$1:$N$36</definedName>
    <definedName function="false" hidden="true" localSheetId="14" name="_xlnm._FilterDatabase" vbProcedure="false">'Open questions'!$A$1:$E$18</definedName>
    <definedName function="false" hidden="true" localSheetId="3" name="_xlnm._FilterDatabase" vbProcedure="false">Payers!$A$1:$K$5</definedName>
    <definedName function="false" hidden="true" localSheetId="5" name="_xlnm._FilterDatabase" vbProcedure="false">ServiceCodes!$A$1:$H$33</definedName>
    <definedName function="false" hidden="true" localSheetId="6" name="_xlnm._FilterDatabase" vbProcedure="false">Trends!$A$1:$G$42</definedName>
    <definedName function="false" hidden="true" localSheetId="9" name="_xlnm._FilterDatabase" vbProcedure="false">'Validation rules'!$A$1:$F$38</definedName>
    <definedName function="false" hidden="true" localSheetId="10" name="_xlnm._FilterDatabase" vbProcedure="false">Workflow!$A$1:$G$13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<sst xmlns="http://schemas.openxmlformats.org/spreadsheetml/2006/main" count="3781" uniqueCount="1340">
  <si>
    <t xml:space="preserve">IDR Prep Studio v2 – Build Spec</t>
  </si>
  <si>
    <t xml:space="preserve">Version</t>
  </si>
  <si>
    <t xml:space="preserve">v2.0</t>
  </si>
  <si>
    <t xml:space="preserve">Date</t>
  </si>
  <si>
    <t xml:space="preserve">2026-10-21</t>
  </si>
  <si>
    <t xml:space="preserve">Audience</t>
  </si>
  <si>
    <t xml:space="preserve">IT and software development.</t>
  </si>
  <si>
    <t xml:space="preserve">Purpose</t>
  </si>
  <si>
    <t xml:space="preserve">This workbook is the build spec for IDR Prep Studio v2. It lists every field, list, rule, table and server function. It also holds the trends seen in 4 real Notices of IDR Initiation.</t>
  </si>
  <si>
    <t xml:space="preserve">App</t>
  </si>
  <si>
    <t xml:space="preserve">Google Apps Script web app in oon-operating-model/idr-prep-studio/ (Code.gs, Index.html, Pdf.html, DemoData.gs).</t>
  </si>
  <si>
    <t xml:space="preserve">Not the CMS portal</t>
  </si>
  <si>
    <t xml:space="preserve">The Studio never connects to the federal IDR portal. The US desk copies the values into the portal by hand. Keep the "not the CMS portal" banner.</t>
  </si>
  <si>
    <t xml:space="preserve">Sources</t>
  </si>
  <si>
    <t xml:space="preserve">Notices DISP-7984427 and DISP-7986216 (initiated 10/15/2026), DISP-7997846 and DISP-7998956 (initiated 10/16/2026). Current schema: Code.gs. Build spec: spec-studio-v2.md. Field review: 17 ranked improvements.</t>
  </si>
  <si>
    <t xml:space="preserve">PHI rule</t>
  </si>
  <si>
    <t xml:space="preserve">This workbook holds no claim numbers, no dates of service and no account numbers. File names are shown as patterns, for example "EOB &lt;account&gt;.pdf". Business data is allowed: payer names, addresses and IDR emails, our billing entities, TIN, NPI, IDR entity names, service codes and descriptions. Do not add PHI to this file. Demo data must stay synthetic.</t>
  </si>
  <si>
    <t xml:space="preserve">How to use</t>
  </si>
  <si>
    <t xml:space="preserve">1. Start with Fields. It lists each field in portal order with its key, type, rule and default.</t>
  </si>
  <si>
    <t xml:space="preserve">2. Lists, Payers, BillingEntities and ServiceCodes hold the seed rows for the Options tab.</t>
  </si>
  <si>
    <t xml:space="preserve">3. Trends and Observed lines show what the 4 notices contain. They justify the defaults.</t>
  </si>
  <si>
    <t xml:space="preserve">4. Learning rules, Validation rules and Workflow are the requirements. Each row has an ID to cite in tickets.</t>
  </si>
  <si>
    <t xml:space="preserve">5. Data model and API describe the tabs and server functions.</t>
  </si>
  <si>
    <t xml:space="preserve">6. Backlog holds the user stories. Open questions lists what the business must answer.</t>
  </si>
  <si>
    <t xml:space="preserve">Formulas</t>
  </si>
  <si>
    <t xml:space="preserve">ServiceCodes (Times seen, QPA min and max) and Trends (Share) use formulas. They update when Observed lines change.</t>
  </si>
  <si>
    <t xml:space="preserve">Status legend</t>
  </si>
  <si>
    <t xml:space="preserve">Existing – in Code.gs today and unchanged.</t>
  </si>
  <si>
    <t xml:space="preserve">Changed – in Code.gs today; v2 changes it.</t>
  </si>
  <si>
    <t xml:space="preserve">New – added in v2.</t>
  </si>
  <si>
    <t xml:space="preserve">Planned – backlog item not yet built.</t>
  </si>
  <si>
    <t xml:space="preserve">Needs business – blocked on an answer in Open questions.</t>
  </si>
  <si>
    <t xml:space="preserve">Dispute statuses</t>
  </si>
  <si>
    <t xml:space="preserve">Draft, Ready for US desk, Returned, Filed. See Workflow.</t>
  </si>
  <si>
    <t xml:space="preserve">Orange cells</t>
  </si>
  <si>
    <t xml:space="preserve">A data-quality flag (Observed lines) or a field that needs a business answer.</t>
  </si>
  <si>
    <t xml:space="preserve">Sheets</t>
  </si>
  <si>
    <t xml:space="preserve">README, Fields, Lists, Payers, BillingEntities, ServiceCodes, Trends, Observed lines, Learning rules, Validation rules, Workflow, Data model, API, Backlog, Open questions.</t>
  </si>
  <si>
    <t xml:space="preserve">Page</t>
  </si>
  <si>
    <t xml:space="preserve">Section</t>
  </si>
  <si>
    <t xml:space="preserve">Portal label (exact text from the notice)</t>
  </si>
  <si>
    <t xml:space="preserve">Field key</t>
  </si>
  <si>
    <t xml:space="preserve">Type</t>
  </si>
  <si>
    <t xml:space="preserve">Required</t>
  </si>
  <si>
    <t xml:space="preserve">Validation rule</t>
  </si>
  <si>
    <t xml:space="preserve">Default (seeded)</t>
  </si>
  <si>
    <t xml:space="preserve">Learned default? (Y/N)</t>
  </si>
  <si>
    <t xml:space="preserve">Source list</t>
  </si>
  <si>
    <t xml:space="preserve">Auto-fill from</t>
  </si>
  <si>
    <t xml:space="preserve">Copy-desk order</t>
  </si>
  <si>
    <t xml:space="preserve">Notes</t>
  </si>
  <si>
    <t xml:space="preserve">Qualification · page 1</t>
  </si>
  <si>
    <t xml:space="preserve">Qualification Questions</t>
  </si>
  <si>
    <t xml:space="preserve">Was the service in question provided prior to 1/1/2022?</t>
  </si>
  <si>
    <t xml:space="preserve">q_prior_2022</t>
  </si>
  <si>
    <t xml:space="preserve">radio</t>
  </si>
  <si>
    <t xml:space="preserve">Yes</t>
  </si>
  <si>
    <t xml:space="preserve">One of Yes, No. Yes = hard stop (V11).</t>
  </si>
  <si>
    <t xml:space="preserve">No</t>
  </si>
  <si>
    <t xml:space="preserve">Y</t>
  </si>
  <si>
    <t xml:space="preserve">Yes/No (fixed)</t>
  </si>
  <si>
    <t xml:space="preserve">Observed No 4/4.</t>
  </si>
  <si>
    <t xml:space="preserve">I'm a(n):</t>
  </si>
  <si>
    <t xml:space="preserve">q_acting_as</t>
  </si>
  <si>
    <t xml:space="preserve">One of the 6 acting-as options.</t>
  </si>
  <si>
    <t xml:space="preserve">From billing entity (Health care facility)</t>
  </si>
  <si>
    <t xml:space="preserve">ActingAs (fixed)</t>
  </si>
  <si>
    <t xml:space="preserve">BillingEntity.acting_as</t>
  </si>
  <si>
    <t xml:space="preserve">Entry label: "I am (or I am acting on behalf of) a:". Observed facility 3/4, provider 1/4.</t>
  </si>
  <si>
    <t xml:space="preserve">Tax ID:</t>
  </si>
  <si>
    <t xml:space="preserve">tin</t>
  </si>
  <si>
    <t xml:space="preserve">text</t>
  </si>
  <si>
    <t xml:space="preserve">^\d{9}$ (V09)</t>
  </si>
  <si>
    <t xml:space="preserve">From billing entity</t>
  </si>
  <si>
    <t xml:space="preserve">N</t>
  </si>
  <si>
    <t xml:space="preserve">BillingEntity.tin</t>
  </si>
  <si>
    <t xml:space="preserve">New field. 9 digits, no dash.</t>
  </si>
  <si>
    <t xml:space="preserve">National Provider Identifier (NPI):</t>
  </si>
  <si>
    <t xml:space="preserve">npi</t>
  </si>
  <si>
    <t xml:space="preserve">^\d{10}$ (V10)</t>
  </si>
  <si>
    <t xml:space="preserve">BillingEntity.npi</t>
  </si>
  <si>
    <t xml:space="preserve">New field. 10 digits.</t>
  </si>
  <si>
    <t xml:space="preserve">Health Plan Type:</t>
  </si>
  <si>
    <t xml:space="preserve">q_plan_type</t>
  </si>
  <si>
    <t xml:space="preserve">combo</t>
  </si>
  <si>
    <t xml:space="preserve">Free text allowed; typo check (V31).</t>
  </si>
  <si>
    <t xml:space="preserve">Either partially or fully self-insured ERISA group health plan</t>
  </si>
  <si>
    <t xml:space="preserve">HealthPlanType</t>
  </si>
  <si>
    <t xml:space="preserve">Changed: select to combo. Observed 4/4. The 7 placeholders are removed.</t>
  </si>
  <si>
    <t xml:space="preserve">What are you disputing today?</t>
  </si>
  <si>
    <t xml:space="preserve">dispute_kind</t>
  </si>
  <si>
    <t xml:space="preserve">One of Single dispute, A batched dispute, A bundled dispute. Warn if Single dispute and more than 1 distinct claim number (V15).</t>
  </si>
  <si>
    <t xml:space="preserve">A batched dispute</t>
  </si>
  <si>
    <t xml:space="preserve">DisputeKind (fixed)</t>
  </si>
  <si>
    <t xml:space="preserve">New field. Shown on page 1 (spec section 4). On the notice it comes after the consent question, so its copy-desk order is after consent_waiver. Observed batched 3/4, single 1/4.</t>
  </si>
  <si>
    <t xml:space="preserve">Qualification · page 2</t>
  </si>
  <si>
    <t xml:space="preserve">When did the open negotiation period start?</t>
  </si>
  <si>
    <t xml:space="preserve">on_start_date</t>
  </si>
  <si>
    <t xml:space="preserve">date</t>
  </si>
  <si>
    <t xml:space="preserve">YYYY-MM-DD; not in the future (V08). Deadline helper (V13, V14).</t>
  </si>
  <si>
    <t xml:space="preserve">Entry label: "Start Date of the Open Negotiation Period:". Helper text: "Open negotiation ends &lt;date&gt;. Initiate by &lt;date&gt; (&lt;n&gt; business days left)."</t>
  </si>
  <si>
    <t xml:space="preserve">Proof of Open Negotiation Documentation:</t>
  </si>
  <si>
    <t xml:space="preserve">on_evidence</t>
  </si>
  <si>
    <t xml:space="preserve">file</t>
  </si>
  <si>
    <t xml:space="preserve">At least 1 file, under 45 MB (V24, V35).</t>
  </si>
  <si>
    <t xml:space="preserve">Category on_evidence. Names seen: "OMB &lt;account&gt;.pdf", "PROOF &lt;account&gt;.png", "&lt;date&gt; LLC NSA NEG LETTER C &lt;account&gt;.pdf". Suggest a name.</t>
  </si>
  <si>
    <t xml:space="preserve">Did the health care provider, health care facility, or provider of air ambulance services get consent from the participant, beneficiary, or enrollee to waive surprise billing protections for these items or services?</t>
  </si>
  <si>
    <t xml:space="preserve">consent_waiver</t>
  </si>
  <si>
    <t xml:space="preserve">One of Yes, No. Yes = hard stop (V12).</t>
  </si>
  <si>
    <t xml:space="preserve">Parties · page 3</t>
  </si>
  <si>
    <t xml:space="preserve">Group Health Plan / Health Insurance Issuer / FEHB Carrier Information or TPA</t>
  </si>
  <si>
    <t xml:space="preserve">plan_role</t>
  </si>
  <si>
    <t xml:space="preserve">One of the 3 plan roles.</t>
  </si>
  <si>
    <t xml:space="preserve">PlanRole (fixed)</t>
  </si>
  <si>
    <t xml:space="preserve">Not printed on the notice. Entry label shown.</t>
  </si>
  <si>
    <t xml:space="preserve">Name:</t>
  </si>
  <si>
    <t xml:space="preserve">plan_name</t>
  </si>
  <si>
    <t xml:space="preserve">Payer</t>
  </si>
  <si>
    <t xml:space="preserve">Entry label: "Health Insurance Plan or Company:". Picking a payer fills the fields below (L03).</t>
  </si>
  <si>
    <t xml:space="preserve">Mailing Address:</t>
  </si>
  <si>
    <t xml:space="preserve">plan_addr1</t>
  </si>
  <si>
    <t xml:space="preserve">Payer.addr1</t>
  </si>
  <si>
    <t xml:space="preserve">Mailing Address Line 2:</t>
  </si>
  <si>
    <t xml:space="preserve">plan_addr2</t>
  </si>
  <si>
    <t xml:space="preserve">Payer.addr2</t>
  </si>
  <si>
    <t xml:space="preserve">Line 2 is not printed on the notice.</t>
  </si>
  <si>
    <t xml:space="preserve">City:</t>
  </si>
  <si>
    <t xml:space="preserve">plan_city</t>
  </si>
  <si>
    <t xml:space="preserve">Payer.city</t>
  </si>
  <si>
    <t xml:space="preserve">State:</t>
  </si>
  <si>
    <t xml:space="preserve">plan_state</t>
  </si>
  <si>
    <t xml:space="preserve">select</t>
  </si>
  <si>
    <t xml:space="preserve">Strict select from State (V32).</t>
  </si>
  <si>
    <t xml:space="preserve">State</t>
  </si>
  <si>
    <t xml:space="preserve">Payer.state</t>
  </si>
  <si>
    <t xml:space="preserve">Zip Code:</t>
  </si>
  <si>
    <t xml:space="preserve">plan_zip</t>
  </si>
  <si>
    <t xml:space="preserve">zip</t>
  </si>
  <si>
    <t xml:space="preserve">V02</t>
  </si>
  <si>
    <t xml:space="preserve">Payer.zip</t>
  </si>
  <si>
    <t xml:space="preserve">Email:</t>
  </si>
  <si>
    <t xml:space="preserve">plan_email</t>
  </si>
  <si>
    <t xml:space="preserve">email</t>
  </si>
  <si>
    <t xml:space="preserve">V04</t>
  </si>
  <si>
    <t xml:space="preserve">Payer.email</t>
  </si>
  <si>
    <t xml:space="preserve">Phone:</t>
  </si>
  <si>
    <t xml:space="preserve">plan_phone</t>
  </si>
  <si>
    <t xml:space="preserve">phone</t>
  </si>
  <si>
    <t xml:space="preserve">V03</t>
  </si>
  <si>
    <t xml:space="preserve">Payer.phone</t>
  </si>
  <si>
    <t xml:space="preserve">Fax:</t>
  </si>
  <si>
    <t xml:space="preserve">plan_fax</t>
  </si>
  <si>
    <t xml:space="preserve">Payer.fax</t>
  </si>
  <si>
    <t xml:space="preserve">Blank on all 4 notices.</t>
  </si>
  <si>
    <t xml:space="preserve">Primary Point-of-contact</t>
  </si>
  <si>
    <t xml:space="preserve">plan_p1_name</t>
  </si>
  <si>
    <t xml:space="preserve">Collapsed by default ("Add point of contact"). Empty on all 4 notices.</t>
  </si>
  <si>
    <t xml:space="preserve">plan_p1_addr1</t>
  </si>
  <si>
    <t xml:space="preserve">plan_p1_addr2</t>
  </si>
  <si>
    <t xml:space="preserve">plan_p1_city</t>
  </si>
  <si>
    <t xml:space="preserve">plan_p1_state</t>
  </si>
  <si>
    <t xml:space="preserve">plan_p1_zip</t>
  </si>
  <si>
    <t xml:space="preserve">plan_p1_email</t>
  </si>
  <si>
    <t xml:space="preserve">plan_p1_phone</t>
  </si>
  <si>
    <t xml:space="preserve">Secondary point-of-contact</t>
  </si>
  <si>
    <t xml:space="preserve">plan_p2_name</t>
  </si>
  <si>
    <t xml:space="preserve">plan_p2_addr1</t>
  </si>
  <si>
    <t xml:space="preserve">plan_p2_addr2</t>
  </si>
  <si>
    <t xml:space="preserve">plan_p2_city</t>
  </si>
  <si>
    <t xml:space="preserve">plan_p2_state</t>
  </si>
  <si>
    <t xml:space="preserve">plan_p2_zip</t>
  </si>
  <si>
    <t xml:space="preserve">plan_p2_email</t>
  </si>
  <si>
    <t xml:space="preserve">plan_p2_phone</t>
  </si>
  <si>
    <t xml:space="preserve">Health Care Provider, Health Care Facility, or Provider of Air Ambulance Services Information or TPA</t>
  </si>
  <si>
    <t xml:space="preserve">prov_name</t>
  </si>
  <si>
    <t xml:space="preserve">SILVER ALLIANCE LLC</t>
  </si>
  <si>
    <t xml:space="preserve">BillingEntity</t>
  </si>
  <si>
    <t xml:space="preserve">New field, at the top of the provider section. Picking it fills q_acting_as, tin, npi, prov_designation, prov_group_name and the provider contact fields (L03). Also the signature name.</t>
  </si>
  <si>
    <t xml:space="preserve">Select one of the Health Care Designations:</t>
  </si>
  <si>
    <t xml:space="preserve">prov_designation</t>
  </si>
  <si>
    <t xml:space="preserve">One of the 3 designations.</t>
  </si>
  <si>
    <t xml:space="preserve">Designation (fixed)</t>
  </si>
  <si>
    <t xml:space="preserve">Not printed on the notice; the notice shows it as "I'm a(n):".</t>
  </si>
  <si>
    <t xml:space="preserve">Hospital, Facility or Group Name:</t>
  </si>
  <si>
    <t xml:space="preserve">prov_group_name</t>
  </si>
  <si>
    <t xml:space="preserve">BillingEntity.group_name</t>
  </si>
  <si>
    <t xml:space="preserve">New field. Printed only for the provider entity (CAPITAL HEALTH PLLC).</t>
  </si>
  <si>
    <t xml:space="preserve">prov_addr1</t>
  </si>
  <si>
    <t xml:space="preserve">BillingEntity.addr1</t>
  </si>
  <si>
    <t xml:space="preserve">New field (key assumed: prov_ + contact suffix).</t>
  </si>
  <si>
    <t xml:space="preserve">prov_addr2</t>
  </si>
  <si>
    <t xml:space="preserve">BillingEntity.addr2</t>
  </si>
  <si>
    <t xml:space="preserve">prov_city</t>
  </si>
  <si>
    <t xml:space="preserve">BillingEntity.city</t>
  </si>
  <si>
    <t xml:space="preserve">prov_state</t>
  </si>
  <si>
    <t xml:space="preserve">BillingEntity.state</t>
  </si>
  <si>
    <t xml:space="preserve">prov_zip</t>
  </si>
  <si>
    <t xml:space="preserve">BillingEntity.zip</t>
  </si>
  <si>
    <t xml:space="preserve">prov_email</t>
  </si>
  <si>
    <t xml:space="preserve">BillingEntity.email</t>
  </si>
  <si>
    <t xml:space="preserve">prov_phone</t>
  </si>
  <si>
    <t xml:space="preserve">BillingEntity.phone</t>
  </si>
  <si>
    <t xml:space="preserve">prov_fax</t>
  </si>
  <si>
    <t xml:space="preserve">BillingEntity.fax</t>
  </si>
  <si>
    <t xml:space="preserve">prov_p1_name</t>
  </si>
  <si>
    <t xml:space="preserve">prov_p1_addr1</t>
  </si>
  <si>
    <t xml:space="preserve">prov_p1_addr2</t>
  </si>
  <si>
    <t xml:space="preserve">prov_p1_city</t>
  </si>
  <si>
    <t xml:space="preserve">prov_p1_state</t>
  </si>
  <si>
    <t xml:space="preserve">prov_p1_zip</t>
  </si>
  <si>
    <t xml:space="preserve">prov_p1_email</t>
  </si>
  <si>
    <t xml:space="preserve">prov_p1_phone</t>
  </si>
  <si>
    <t xml:space="preserve">prov_p2_name</t>
  </si>
  <si>
    <t xml:space="preserve">prov_p2_addr1</t>
  </si>
  <si>
    <t xml:space="preserve">prov_p2_addr2</t>
  </si>
  <si>
    <t xml:space="preserve">prov_p2_city</t>
  </si>
  <si>
    <t xml:space="preserve">prov_p2_state</t>
  </si>
  <si>
    <t xml:space="preserve">prov_p2_zip</t>
  </si>
  <si>
    <t xml:space="preserve">prov_p2_email</t>
  </si>
  <si>
    <t xml:space="preserve">prov_p2_phone</t>
  </si>
  <si>
    <t xml:space="preserve">Line items · page 4</t>
  </si>
  <si>
    <t xml:space="preserve">Line Item</t>
  </si>
  <si>
    <t xml:space="preserve">(line heading on the notice)</t>
  </si>
  <si>
    <t xml:space="preserve">description</t>
  </si>
  <si>
    <t xml:space="preserve">textarea</t>
  </si>
  <si>
    <t xml:space="preserve">From service code</t>
  </si>
  <si>
    <t xml:space="preserve">ServiceCode.label</t>
  </si>
  <si>
    <t xml:space="preserve">Entry label: "Enter the description of the item or service." The notice prints it as the line title.</t>
  </si>
  <si>
    <t xml:space="preserve">Claim Number:</t>
  </si>
  <si>
    <t xml:space="preserve">claim_number</t>
  </si>
  <si>
    <t xml:space="preserve">Required on every line (V19). Duplicate-claim warning (V22).</t>
  </si>
  <si>
    <t xml:space="preserve">Copied from previous line</t>
  </si>
  <si>
    <t xml:space="preserve">Previous line</t>
  </si>
  <si>
    <t xml:space="preserve">One claim per dispute on all 4 notices.</t>
  </si>
  <si>
    <t xml:space="preserve">Date of the qualified IDR item or service:</t>
  </si>
  <si>
    <t xml:space="preserve">service_date</t>
  </si>
  <si>
    <t xml:space="preserve">YYYY-MM-DD; on or after 2022-01-01 (V07).</t>
  </si>
  <si>
    <t xml:space="preserve">Payment Information</t>
  </si>
  <si>
    <t xml:space="preserve">Qualifying Payment Amount (QPA):</t>
  </si>
  <si>
    <t xml:space="preserve">qpa</t>
  </si>
  <si>
    <t xml:space="preserve">money</t>
  </si>
  <si>
    <t xml:space="preserve">V05; warn if 0 (V18).</t>
  </si>
  <si>
    <t xml:space="preserve">Qualifying Payment Amount documentation:</t>
  </si>
  <si>
    <t xml:space="preserve">qpa_docs</t>
  </si>
  <si>
    <t xml:space="preserve">One file per claim can cover all its lines (V23).</t>
  </si>
  <si>
    <t xml:space="preserve">Copied from previous line (same claim)</t>
  </si>
  <si>
    <t xml:space="preserve">Category qpa. Names seen: "EOB &lt;account&gt;.pdf", "&lt;date&gt; LLC EOB C &lt;account&gt;.pdf". "Use for all lines on this claim".</t>
  </si>
  <si>
    <t xml:space="preserve">Cost sharing amount allowed:</t>
  </si>
  <si>
    <t xml:space="preserve">cost_sharing</t>
  </si>
  <si>
    <t xml:space="preserve">V05; warn if above QPA (V16).</t>
  </si>
  <si>
    <t xml:space="preserve">Initial payment amount for the item(s) and/or service(s):</t>
  </si>
  <si>
    <t xml:space="preserve">initial_payment</t>
  </si>
  <si>
    <t xml:space="preserve">V05; warn if cost sharing + initial is not QPA (V17).</t>
  </si>
  <si>
    <t xml:space="preserve">Suggest QPA − cost sharing</t>
  </si>
  <si>
    <t xml:space="preserve">Computed</t>
  </si>
  <si>
    <t xml:space="preserve">Entry label adds "(if applicable)". Observed: initial = QPA − cost sharing on every line with values.</t>
  </si>
  <si>
    <t xml:space="preserve">Type of Qualified Item(s) or Service(s)</t>
  </si>
  <si>
    <t xml:space="preserve">Type of Qualified Item(s) or Service(s):</t>
  </si>
  <si>
    <t xml:space="preserve">item_types</t>
  </si>
  <si>
    <t xml:space="preserve">checkboxes</t>
  </si>
  <si>
    <t xml:space="preserve">At least one.</t>
  </si>
  <si>
    <t xml:space="preserve">Emergency item(s)/service(s)</t>
  </si>
  <si>
    <t xml:space="preserve">ItemType (fixed)</t>
  </si>
  <si>
    <t xml:space="preserve">Observed on every line.</t>
  </si>
  <si>
    <t xml:space="preserve">Other: Provide description</t>
  </si>
  <si>
    <t xml:space="preserve">other_desc</t>
  </si>
  <si>
    <t xml:space="preserve">If Other</t>
  </si>
  <si>
    <t xml:space="preserve">Required when item_types includes Other (V25).</t>
  </si>
  <si>
    <t xml:space="preserve">Not printed on the notices seen.</t>
  </si>
  <si>
    <t xml:space="preserve">Service Code:</t>
  </si>
  <si>
    <t xml:space="preserve">service_code</t>
  </si>
  <si>
    <t xml:space="preserve">ServiceCode</t>
  </si>
  <si>
    <t xml:space="preserve">Changed: text to combo. Picking a code fills description.</t>
  </si>
  <si>
    <t xml:space="preserve">Service Code Modifier(s):</t>
  </si>
  <si>
    <t xml:space="preserve">modifiers</t>
  </si>
  <si>
    <t xml:space="preserve">Optional (V33).</t>
  </si>
  <si>
    <t xml:space="preserve">(empty)</t>
  </si>
  <si>
    <t xml:space="preserve">Modifier</t>
  </si>
  <si>
    <t xml:space="preserve">Changed: required today in Code.gs; empty on every observed line, so make it optional.</t>
  </si>
  <si>
    <t xml:space="preserve">Place of Service Code:</t>
  </si>
  <si>
    <t xml:space="preserve">pos_code</t>
  </si>
  <si>
    <t xml:space="preserve">Required on every line (V19).</t>
  </si>
  <si>
    <t xml:space="preserve">23</t>
  </si>
  <si>
    <t xml:space="preserve">PosCode</t>
  </si>
  <si>
    <t xml:space="preserve">Changed: text to combo.</t>
  </si>
  <si>
    <t xml:space="preserve">Location of Service:</t>
  </si>
  <si>
    <t xml:space="preserve">location</t>
  </si>
  <si>
    <t xml:space="preserve">TX</t>
  </si>
  <si>
    <t xml:space="preserve">Summary · final page</t>
  </si>
  <si>
    <t xml:space="preserve">Additional Supporting Documentation</t>
  </si>
  <si>
    <t xml:space="preserve">Additional Supporting Documentation:</t>
  </si>
  <si>
    <t xml:space="preserve">additional_docs</t>
  </si>
  <si>
    <t xml:space="preserve">Under 45 MB (V35).</t>
  </si>
  <si>
    <t xml:space="preserve">Category additional. Name seen: "UB04 Form C-&lt;account&gt;.pdf" (1/4).</t>
  </si>
  <si>
    <t xml:space="preserve">Certified IDR entity</t>
  </si>
  <si>
    <t xml:space="preserve">Certified IDR entity legal business name:</t>
  </si>
  <si>
    <t xml:space="preserve">idr_entity</t>
  </si>
  <si>
    <t xml:space="preserve">Required (V26); typo check (V31).</t>
  </si>
  <si>
    <t xml:space="preserve">Maximus Federal Services Inc (most used)</t>
  </si>
  <si>
    <t xml:space="preserve">IdrEntity</t>
  </si>
  <si>
    <t xml:space="preserve">New field.</t>
  </si>
  <si>
    <t xml:space="preserve">Third Party Attestation</t>
  </si>
  <si>
    <t xml:space="preserve">Third Party Attestation:</t>
  </si>
  <si>
    <t xml:space="preserve">third_party_attest</t>
  </si>
  <si>
    <t xml:space="preserve">One of Yes, No (V27).</t>
  </si>
  <si>
    <t xml:space="preserve">New field. Observed No 4/4.</t>
  </si>
  <si>
    <t xml:space="preserve">Conflict of Interest Attestation</t>
  </si>
  <si>
    <t xml:space="preserve">Signature:</t>
  </si>
  <si>
    <t xml:space="preserve">(display only)</t>
  </si>
  <si>
    <t xml:space="preserve">display</t>
  </si>
  <si>
    <t xml:space="preserve">n/a</t>
  </si>
  <si>
    <t xml:space="preserve">Same as prov_name</t>
  </si>
  <si>
    <t xml:space="preserve">Summary shows "Signature: &lt;provider name&gt;". The US desk signs on the portal.</t>
  </si>
  <si>
    <t xml:space="preserve">Date:</t>
  </si>
  <si>
    <t xml:space="preserve">Portal fills (initiation date)</t>
  </si>
  <si>
    <t xml:space="preserve">Not stored in the Studio.</t>
  </si>
  <si>
    <t xml:space="preserve">Dispute list</t>
  </si>
  <si>
    <t xml:space="preserve">Dispute header</t>
  </si>
  <si>
    <t xml:space="preserve">(not on the portal)</t>
  </si>
  <si>
    <t xml:space="preserve">Team</t>
  </si>
  <si>
    <t xml:space="preserve">Typo check (V31).</t>
  </si>
  <si>
    <t xml:space="preserve">Learned on save; no seed.</t>
  </si>
  <si>
    <t xml:space="preserve">Owner</t>
  </si>
  <si>
    <t xml:space="preserve">Signed-in user</t>
  </si>
  <si>
    <t xml:space="preserve">US copy desk</t>
  </si>
  <si>
    <t xml:space="preserve">Mark as filed</t>
  </si>
  <si>
    <t xml:space="preserve">Dispute Reference Number:</t>
  </si>
  <si>
    <t xml:space="preserve">PortalDisputeNumber</t>
  </si>
  <si>
    <t xml:space="preserve">Yes (to file)</t>
  </si>
  <si>
    <t xml:space="preserve">^DISP-\d{7}$ (V28)</t>
  </si>
  <si>
    <t xml:space="preserve">Printed at the top of the notice.</t>
  </si>
  <si>
    <t xml:space="preserve">(portal confirmation PDF)</t>
  </si>
  <si>
    <t xml:space="preserve">PortalPdfUrl</t>
  </si>
  <si>
    <t xml:space="preserve">V29</t>
  </si>
  <si>
    <t xml:space="preserve">Category portal_confirmation.</t>
  </si>
  <si>
    <t xml:space="preserve">Return</t>
  </si>
  <si>
    <t xml:space="preserve">ReturnReason</t>
  </si>
  <si>
    <t xml:space="preserve">Yes (to return)</t>
  </si>
  <si>
    <t xml:space="preserve">Required (V30).</t>
  </si>
  <si>
    <t xml:space="preserve">Changed: free text to combo.</t>
  </si>
  <si>
    <t xml:space="preserve">List</t>
  </si>
  <si>
    <t xml:space="preserve">Value</t>
  </si>
  <si>
    <t xml:space="preserve">Label</t>
  </si>
  <si>
    <t xml:space="preserve">Data JSON</t>
  </si>
  <si>
    <t xml:space="preserve">Count observed</t>
  </si>
  <si>
    <t xml:space="preserve">Source</t>
  </si>
  <si>
    <t xml:space="preserve">Status</t>
  </si>
  <si>
    <t xml:space="preserve">YesNo</t>
  </si>
  <si>
    <t xml:space="preserve">fixed (Code.gs)</t>
  </si>
  <si>
    <t xml:space="preserve">Active</t>
  </si>
  <si>
    <t xml:space="preserve">No: 4/4 on prior-2022, consent, third party</t>
  </si>
  <si>
    <t xml:space="preserve">ActingAs</t>
  </si>
  <si>
    <t xml:space="preserve">Group Health Plan</t>
  </si>
  <si>
    <t xml:space="preserve">Individual health insurance issuer</t>
  </si>
  <si>
    <t xml:space="preserve">Federal Employees Health Benefits (FEHB) carrier</t>
  </si>
  <si>
    <t xml:space="preserve">Health care provider</t>
  </si>
  <si>
    <t xml:space="preserve">Health care facility</t>
  </si>
  <si>
    <t xml:space="preserve">Provider of air ambulance services</t>
  </si>
  <si>
    <t xml:space="preserve">PlanRole</t>
  </si>
  <si>
    <t xml:space="preserve">Designation</t>
  </si>
  <si>
    <t xml:space="preserve">ItemType</t>
  </si>
  <si>
    <t xml:space="preserve">Post-stabilization service(s)</t>
  </si>
  <si>
    <t xml:space="preserve">Professional service(s)</t>
  </si>
  <si>
    <t xml:space="preserve">Hospital-based service(s)</t>
  </si>
  <si>
    <t xml:space="preserve">Item(s)/service(s) furnished by a nonparticipating provider at a participating health care facility</t>
  </si>
  <si>
    <t xml:space="preserve">Out-of-network air ambulance service(s)</t>
  </si>
  <si>
    <t xml:space="preserve">DisputeKind</t>
  </si>
  <si>
    <t xml:space="preserve">Single dispute</t>
  </si>
  <si>
    <t xml:space="preserve">fixed (new)</t>
  </si>
  <si>
    <t xml:space="preserve">A bundled dispute</t>
  </si>
  <si>
    <t xml:space="preserve">AL</t>
  </si>
  <si>
    <t xml:space="preserve">seed</t>
  </si>
  <si>
    <t xml:space="preserve">AK</t>
  </si>
  <si>
    <t xml:space="preserve">AZ</t>
  </si>
  <si>
    <t xml:space="preserve">AR</t>
  </si>
  <si>
    <t xml:space="preserve">CA</t>
  </si>
  <si>
    <t xml:space="preserve">CO</t>
  </si>
  <si>
    <t xml:space="preserve">CT</t>
  </si>
  <si>
    <t xml:space="preserve">DE</t>
  </si>
  <si>
    <t xml:space="preserve">DC</t>
  </si>
  <si>
    <t xml:space="preserve">FL</t>
  </si>
  <si>
    <t xml:space="preserve">GA</t>
  </si>
  <si>
    <t xml:space="preserve">HI</t>
  </si>
  <si>
    <t xml:space="preserve">ID</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</si>
  <si>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</si>
  <si>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</si>
  <si>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</si>
  <si>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</si>
  <si>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</si>
  <si>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</si>
  <si>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</si>
  <si>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</si>
  <si>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</si>
  <si>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</si>
  <si>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</si>
  <si>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</si>
  <si>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</si>
  <si>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</si>
  <si>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</si>
  <si>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</si>
  <si>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</si>
  <si>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</si>
  <si>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</si>
  <si>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</si>
  <si>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</si>
  <si>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</si>
  <si>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</si>
  <si>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</si>
  <si>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</si>
  <si>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</si>
  <si>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</si>
  <si>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</si>
  <si>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</si>
  <si>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</si>
  <si>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UT</t>
  </si>
  <si>
    <t xml:space="preserve">VT</t>
  </si>
  <si>
    <t xml:space="preserve">VA</t>
  </si>
  <si>
    <t xml:space="preserve">WA</t>
  </si>
  <si>
    <t xml:space="preserve">WV</t>
  </si>
  <si>
    <t xml:space="preserve">WI</t>
  </si>
  <si>
    <t xml:space="preserve">WY</t>
  </si>
  <si>
    <t xml:space="preserve">AS</t>
  </si>
  <si>
    <t xml:space="preserve">GU</t>
  </si>
  <si>
    <t xml:space="preserve">MP</t>
  </si>
  <si>
    <t xml:space="preserve">PR</t>
  </si>
  <si>
    <t xml:space="preserve">VI</t>
  </si>
  <si>
    <t xml:space="preserve">UMR</t>
  </si>
  <si>
    <t xml:space="preserve">{"addr1": "PO BOX 30541", "addr2": "", "city": "SALT LAKE CITY", "state": "UT", "zip": "84130", "email": "idr@clearhealthcloud.com", "phone": "(877) 233-1800", "fax": ""}</t>
  </si>
  <si>
    <t xml:space="preserve">BLUECROSS BLUESHIELD</t>
  </si>
  <si>
    <t xml:space="preserve">{"addr1": "PO BOX 660044", "addr2": "", "city": "Dallas", "state": "TX", "zip": "75266", "email": "nsa.disputes@bcbstx.com", "phone": "(800) 451-0287", "fax": ""}</t>
  </si>
  <si>
    <t xml:space="preserve">Cigna</t>
  </si>
  <si>
    <t xml:space="preserve">{"addr1": "P.O. BOX 182223", "addr2": "", "city": "CHATTANOOGA", "state": "TN", "zip": "37422-7223", "email": "nsaidr@multiplan.com", "phone": "(800) 244-6224", "fax": ""}</t>
  </si>
  <si>
    <t xml:space="preserve">United Healthcare</t>
  </si>
  <si>
    <t xml:space="preserve">{"addr1": "PO Box 30783", "addr2": "", "city": "Salt Lake City", "state": "UT", "zip": "84130-0783", "email": "uhg_idr_disputes@uhc.com", "phone": "(877) 842-3210", "fax": ""}</t>
  </si>
  <si>
    <t xml:space="preserve">{"acting_as": "Health care facility", "tin": "862923814", "npi": "1972273233", "group_name": "", "addr1": "6049 S. Hulen St.", "addr2": "", "city": "Fort Worth", "state": "TX", "zip": "76132", "email": "cedarhill.negotiations@totalcare.us", "phone": "(817) 566-1232", "fax": ""}</t>
  </si>
  <si>
    <t xml:space="preserve">CAPITAL HEALTH PLLC</t>
  </si>
  <si>
    <t xml:space="preserve">{"acting_as": "Health care provider", "tin": "872524265", "npi": "1609548056", "group_name": "Totalcare ER, Cedar Hill", "addr1": "6049 S. Hulen St.", "addr2": "", "city": "Fort Worth", "state": "TX", "zip": "76132", "email": "cedarhill.negotiations@totalcare.us", "phone": "(817) 566-1232", "fax": ""}</t>
  </si>
  <si>
    <t xml:space="preserve">Maximus Federal Services Inc</t>
  </si>
  <si>
    <t xml:space="preserve">Capitol Bridge LLC</t>
  </si>
  <si>
    <t xml:space="preserve">Federal Hearings and Appeals Services, LLC</t>
  </si>
  <si>
    <t xml:space="preserve">99284</t>
  </si>
  <si>
    <t xml:space="preserve">EMERGENCY ROOM SERVICE</t>
  </si>
  <si>
    <t xml:space="preserve">{"description": "EMERGENCY ROOM SERVICE"}</t>
  </si>
  <si>
    <t xml:space="preserve">10061</t>
  </si>
  <si>
    <t xml:space="preserve">DRAINAGE OF SKIN ABSCESS</t>
  </si>
  <si>
    <t xml:space="preserve">{"description": "DRAINAGE OF SKIN ABSCESS"}</t>
  </si>
  <si>
    <t xml:space="preserve">J3490</t>
  </si>
  <si>
    <t xml:space="preserve">PHARMACY</t>
  </si>
  <si>
    <t xml:space="preserve">{"description": "PHARMACY"}</t>
  </si>
  <si>
    <t xml:space="preserve">J0696</t>
  </si>
  <si>
    <t xml:space="preserve">Injection, ceftriaxone sodium, per 250 mg</t>
  </si>
  <si>
    <t xml:space="preserve">{"description": "Injection, ceftriaxone sodium, per 250 mg"}</t>
  </si>
  <si>
    <t xml:space="preserve">99283</t>
  </si>
  <si>
    <t xml:space="preserve">94761</t>
  </si>
  <si>
    <t xml:space="preserve">MEASURE BLOOD OXYGEN LEVEL</t>
  </si>
  <si>
    <t xml:space="preserve">{"description": "MEASURE BLOOD OXYGEN LEVEL"}</t>
  </si>
  <si>
    <t xml:space="preserve">12001</t>
  </si>
  <si>
    <t xml:space="preserve">REPAIR- TRUNK/SCALP/NECK/AXIL/LIMBS &lt;2.5</t>
  </si>
  <si>
    <t xml:space="preserve">{"description": "REPAIR- TRUNK/SCALP/NECK/AXIL/LIMBS &lt;2.5"}</t>
  </si>
  <si>
    <t xml:space="preserve">A4670</t>
  </si>
  <si>
    <t xml:space="preserve">AUTOMATIC BLOOD PRESSURE MONITOR</t>
  </si>
  <si>
    <t xml:space="preserve">{"description": "AUTOMATIC BLOOD PRESSURE MONITOR"}</t>
  </si>
  <si>
    <t xml:space="preserve">A6413</t>
  </si>
  <si>
    <t xml:space="preserve">ADHESIVE BANDAGE, FIRST-AID</t>
  </si>
  <si>
    <t xml:space="preserve">{"description": "ADHESIVE BANDAGE, FIRST-AID"}</t>
  </si>
  <si>
    <t xml:space="preserve">A4930</t>
  </si>
  <si>
    <t xml:space="preserve">GLOVES STERILE PER PAIR</t>
  </si>
  <si>
    <t xml:space="preserve">{"description": "GLOVES STERILE PER PAIR"}</t>
  </si>
  <si>
    <t xml:space="preserve">A4248</t>
  </si>
  <si>
    <t xml:space="preserve">CHLORHEXIDINE ANTISEPT</t>
  </si>
  <si>
    <t xml:space="preserve">{"description": "CHLORHEXIDINE ANTISEPT"}</t>
  </si>
  <si>
    <t xml:space="preserve">96372</t>
  </si>
  <si>
    <t xml:space="preserve">THERAPY/PROPHYLAXIS/DIAGNOSIS INJECTION, SC/IM</t>
  </si>
  <si>
    <t xml:space="preserve">{"description": "THERAPY/PROPHYLAXIS/DIAGNOSIS INJECTION, SC/IM"}</t>
  </si>
  <si>
    <t xml:space="preserve">81025</t>
  </si>
  <si>
    <t xml:space="preserve">URINE PREGNANCY TEST</t>
  </si>
  <si>
    <t xml:space="preserve">{"description": "URINE PREGNANCY TEST"}</t>
  </si>
  <si>
    <t xml:space="preserve">72125</t>
  </si>
  <si>
    <t xml:space="preserve">CT NECK SPINE W/O DYE</t>
  </si>
  <si>
    <t xml:space="preserve">{"description": "CT NECK SPINE W/O DYE"}</t>
  </si>
  <si>
    <t xml:space="preserve">70450</t>
  </si>
  <si>
    <t xml:space="preserve">CT HEAD/BRAIN W/O DYE</t>
  </si>
  <si>
    <t xml:space="preserve">{"description": "CT HEAD/BRAIN W/O DYE"}</t>
  </si>
  <si>
    <t xml:space="preserve">72128</t>
  </si>
  <si>
    <t xml:space="preserve">Computed tomography, thoracic spine</t>
  </si>
  <si>
    <t xml:space="preserve">{"description": "Computed tomography, thoracic spine"}</t>
  </si>
  <si>
    <t xml:space="preserve">J1885</t>
  </si>
  <si>
    <t xml:space="preserve">Injection, ketorolac tromethamine, per 15 mg</t>
  </si>
  <si>
    <t xml:space="preserve">{"description": "Injection, ketorolac tromethamine, per 15 mg"}</t>
  </si>
  <si>
    <t xml:space="preserve">A4215</t>
  </si>
  <si>
    <t xml:space="preserve">NEEDLES ONLY STERILE ANY SIZE EACH</t>
  </si>
  <si>
    <t xml:space="preserve">{"description": "NEEDLES ONLY STERILE ANY SIZE EACH"}</t>
  </si>
  <si>
    <t xml:space="preserve">A4657</t>
  </si>
  <si>
    <t xml:space="preserve">SYRINGE WITH OR WITHOUT NEEDLE EACH</t>
  </si>
  <si>
    <t xml:space="preserve">{"description": "SYRINGE WITH OR WITHOUT NEEDLE EACH"}</t>
  </si>
  <si>
    <t xml:space="preserve">E1399</t>
  </si>
  <si>
    <t xml:space="preserve">Durable medical equipment, miscellaneous</t>
  </si>
  <si>
    <t xml:space="preserve">{"description": "Durable medical equipment, miscellaneous"}</t>
  </si>
  <si>
    <t xml:space="preserve">82150</t>
  </si>
  <si>
    <t xml:space="preserve">ASSAY OF AMYLASE</t>
  </si>
  <si>
    <t xml:space="preserve">{"description": "ASSAY OF AMYLASE"}</t>
  </si>
  <si>
    <t xml:space="preserve">81003</t>
  </si>
  <si>
    <t xml:space="preserve">URINALYSIS, AUTO, W/O SCOPE</t>
  </si>
  <si>
    <t xml:space="preserve">{"description": "URINALYSIS, AUTO, W/O SCOPE"}</t>
  </si>
  <si>
    <t xml:space="preserve">85025</t>
  </si>
  <si>
    <t xml:space="preserve">COMPLETE CBC W/AUTO DIFF WBC</t>
  </si>
  <si>
    <t xml:space="preserve">{"description": "COMPLETE CBC W/AUTO DIFF WBC"}</t>
  </si>
  <si>
    <t xml:space="preserve">80051</t>
  </si>
  <si>
    <t xml:space="preserve">ELECTROLYTE PANEL</t>
  </si>
  <si>
    <t xml:space="preserve">{"description": "ELECTROLYTE PANEL"}</t>
  </si>
  <si>
    <t xml:space="preserve">82550</t>
  </si>
  <si>
    <t xml:space="preserve">ASSAY OF CK (CPK)</t>
  </si>
  <si>
    <t xml:space="preserve">{"description": "ASSAY OF CK (CPK)"}</t>
  </si>
  <si>
    <t xml:space="preserve">82565</t>
  </si>
  <si>
    <t xml:space="preserve">ASSAY OF CREATININE</t>
  </si>
  <si>
    <t xml:space="preserve">{"description": "ASSAY OF CREATININE"}</t>
  </si>
  <si>
    <t xml:space="preserve">82947</t>
  </si>
  <si>
    <t xml:space="preserve">ASSAY, GLUCOSE, BLOOD QUANT</t>
  </si>
  <si>
    <t xml:space="preserve">{"description": "ASSAY, GLUCOSE, BLOOD QUANT"}</t>
  </si>
  <si>
    <t xml:space="preserve">84520</t>
  </si>
  <si>
    <t xml:space="preserve">ASSAY OF UREA NITROGEN</t>
  </si>
  <si>
    <t xml:space="preserve">{"description": "ASSAY OF UREA NITROGEN"}</t>
  </si>
  <si>
    <t xml:space="preserve">80076</t>
  </si>
  <si>
    <t xml:space="preserve">HEPATIC FUNCTION PANEL</t>
  </si>
  <si>
    <t xml:space="preserve">{"description": "HEPATIC FUNCTION PANEL"}</t>
  </si>
  <si>
    <t xml:space="preserve">99281</t>
  </si>
  <si>
    <t xml:space="preserve">99282</t>
  </si>
  <si>
    <t xml:space="preserve">99285</t>
  </si>
  <si>
    <t xml:space="preserve">Emergency room – hospital</t>
  </si>
  <si>
    <t xml:space="preserve">22</t>
  </si>
  <si>
    <t xml:space="preserve">On campus-outpatient hospital</t>
  </si>
  <si>
    <t xml:space="preserve">11</t>
  </si>
  <si>
    <t xml:space="preserve">Office</t>
  </si>
  <si>
    <t xml:space="preserve">20</t>
  </si>
  <si>
    <t xml:space="preserve">Urgent care facility</t>
  </si>
  <si>
    <t xml:space="preserve">41</t>
  </si>
  <si>
    <t xml:space="preserve">Ambulance – land</t>
  </si>
  <si>
    <t xml:space="preserve">25</t>
  </si>
  <si>
    <t xml:space="preserve">59</t>
  </si>
  <si>
    <t xml:space="preserve">XU</t>
  </si>
  <si>
    <t xml:space="preserve">76</t>
  </si>
  <si>
    <t xml:space="preserve">77</t>
  </si>
  <si>
    <t xml:space="preserve">LT</t>
  </si>
  <si>
    <t xml:space="preserve">RT</t>
  </si>
  <si>
    <t xml:space="preserve">GC</t>
  </si>
  <si>
    <t xml:space="preserve">Missing document</t>
  </si>
  <si>
    <t xml:space="preserve">Wrong amount</t>
  </si>
  <si>
    <t xml:space="preserve">Wrong payer details</t>
  </si>
  <si>
    <t xml:space="preserve">Not eligible</t>
  </si>
  <si>
    <t xml:space="preserve">Deadline passed</t>
  </si>
  <si>
    <t xml:space="preserve">Other</t>
  </si>
  <si>
    <t xml:space="preserve">Holiday</t>
  </si>
  <si>
    <t xml:space="preserve">2026-01-01</t>
  </si>
  <si>
    <t xml:space="preserve">New Year's Day</t>
  </si>
  <si>
    <t xml:space="preserve">2026-01-19</t>
  </si>
  <si>
    <t xml:space="preserve">Birthday of Martin Luther King, Jr.</t>
  </si>
  <si>
    <t xml:space="preserve">2026-02-16</t>
  </si>
  <si>
    <t xml:space="preserve">Washington's Birthday</t>
  </si>
  <si>
    <t xml:space="preserve">2026-05-25</t>
  </si>
  <si>
    <t xml:space="preserve">Memorial Day</t>
  </si>
  <si>
    <t xml:space="preserve">2026-06-19</t>
  </si>
  <si>
    <t xml:space="preserve">Juneteenth National Independence Day</t>
  </si>
  <si>
    <t xml:space="preserve">2026-07-03</t>
  </si>
  <si>
    <t xml:space="preserve">Independence Day (observed)</t>
  </si>
  <si>
    <t xml:space="preserve">2026-09-07</t>
  </si>
  <si>
    <t xml:space="preserve">Labor Day</t>
  </si>
  <si>
    <t xml:space="preserve">2026-10-12</t>
  </si>
  <si>
    <t xml:space="preserve">Columbus Day</t>
  </si>
  <si>
    <t xml:space="preserve">2026-11-11</t>
  </si>
  <si>
    <t xml:space="preserve">Veterans Day</t>
  </si>
  <si>
    <t xml:space="preserve">2026-11-26</t>
  </si>
  <si>
    <t xml:space="preserve">Thanksgiving Day</t>
  </si>
  <si>
    <t xml:space="preserve">2026-12-25</t>
  </si>
  <si>
    <t xml:space="preserve">Christmas Day</t>
  </si>
  <si>
    <t xml:space="preserve">2027-01-01</t>
  </si>
  <si>
    <t xml:space="preserve">2027-01-18</t>
  </si>
  <si>
    <t xml:space="preserve">2027-02-15</t>
  </si>
  <si>
    <t xml:space="preserve">2027-05-31</t>
  </si>
  <si>
    <t xml:space="preserve">2027-06-18</t>
  </si>
  <si>
    <t xml:space="preserve">Juneteenth National Independence Day (observed)</t>
  </si>
  <si>
    <t xml:space="preserve">2027-07-05</t>
  </si>
  <si>
    <t xml:space="preserve">2027-09-06</t>
  </si>
  <si>
    <t xml:space="preserve">2027-10-11</t>
  </si>
  <si>
    <t xml:space="preserve">2027-11-11</t>
  </si>
  <si>
    <t xml:space="preserve">2027-11-25</t>
  </si>
  <si>
    <t xml:space="preserve">2027-12-24</t>
  </si>
  <si>
    <t xml:space="preserve">Christmas Day (observed)</t>
  </si>
  <si>
    <t xml:space="preserve">2027-12-31</t>
  </si>
  <si>
    <t xml:space="preserve">New Year's Day 2028 (observed)</t>
  </si>
  <si>
    <t xml:space="preserve">UsDeskUser</t>
  </si>
  <si>
    <t xml:space="preserve">&lt;email of the person who runs setup()&gt;</t>
  </si>
  <si>
    <t xml:space="preserve">seed (setup)</t>
  </si>
  <si>
    <t xml:space="preserve">Admin</t>
  </si>
  <si>
    <t xml:space="preserve">&lt;admin emails – needs business&gt;</t>
  </si>
  <si>
    <t xml:space="preserve">needs business</t>
  </si>
  <si>
    <t xml:space="preserve">(none – learned on save)</t>
  </si>
  <si>
    <t xml:space="preserve">learned</t>
  </si>
  <si>
    <t xml:space="preserve">Name</t>
  </si>
  <si>
    <t xml:space="preserve">Mailing Address</t>
  </si>
  <si>
    <t xml:space="preserve">Mailing Address Line 2</t>
  </si>
  <si>
    <t xml:space="preserve">City</t>
  </si>
  <si>
    <t xml:space="preserve">Zip Code</t>
  </si>
  <si>
    <t xml:space="preserve">Email</t>
  </si>
  <si>
    <t xml:space="preserve">Phone</t>
  </si>
  <si>
    <t xml:space="preserve">Fax</t>
  </si>
  <si>
    <t xml:space="preserve">Times seen</t>
  </si>
  <si>
    <t xml:space="preserve">Seen on dispute</t>
  </si>
  <si>
    <t xml:space="preserve">PO BOX 30541</t>
  </si>
  <si>
    <t xml:space="preserve">SALT LAKE CITY</t>
  </si>
  <si>
    <t xml:space="preserve">84130</t>
  </si>
  <si>
    <t xml:space="preserve">idr@clearhealthcloud.com</t>
  </si>
  <si>
    <t xml:space="preserve">(877) 233-1800</t>
  </si>
  <si>
    <t xml:space="preserve">DISP-7986216</t>
  </si>
  <si>
    <t xml:space="preserve">PO BOX 660044</t>
  </si>
  <si>
    <t xml:space="preserve">Dallas</t>
  </si>
  <si>
    <t xml:space="preserve">75266</t>
  </si>
  <si>
    <t xml:space="preserve">nsa.disputes@bcbstx.com</t>
  </si>
  <si>
    <t xml:space="preserve">(800) 451-0287</t>
  </si>
  <si>
    <t xml:space="preserve">DISP-7998956</t>
  </si>
  <si>
    <t xml:space="preserve">P.O. BOX 182223</t>
  </si>
  <si>
    <t xml:space="preserve">CHATTANOOGA</t>
  </si>
  <si>
    <t xml:space="preserve">37422-7223</t>
  </si>
  <si>
    <t xml:space="preserve">nsaidr@multiplan.com</t>
  </si>
  <si>
    <t xml:space="preserve">(800) 244-6224</t>
  </si>
  <si>
    <t xml:space="preserve">DISP-7997846</t>
  </si>
  <si>
    <t xml:space="preserve">PO Box 30783</t>
  </si>
  <si>
    <t xml:space="preserve">Salt Lake City</t>
  </si>
  <si>
    <t xml:space="preserve">84130-0783</t>
  </si>
  <si>
    <t xml:space="preserve">uhg_idr_disputes@uhc.com</t>
  </si>
  <si>
    <t xml:space="preserve">(877) 842-3210</t>
  </si>
  <si>
    <t xml:space="preserve">DISP-7984427</t>
  </si>
  <si>
    <t xml:space="preserve">name</t>
  </si>
  <si>
    <t xml:space="preserve">acting_as</t>
  </si>
  <si>
    <t xml:space="preserve">group_name</t>
  </si>
  <si>
    <t xml:space="preserve">addr1</t>
  </si>
  <si>
    <t xml:space="preserve">addr2</t>
  </si>
  <si>
    <t xml:space="preserve">city</t>
  </si>
  <si>
    <t xml:space="preserve">state</t>
  </si>
  <si>
    <t xml:space="preserve">fax</t>
  </si>
  <si>
    <t xml:space="preserve">Variants seen</t>
  </si>
  <si>
    <t xml:space="preserve">862923814</t>
  </si>
  <si>
    <t xml:space="preserve">1972273233</t>
  </si>
  <si>
    <t xml:space="preserve">6049 S. Hulen St.</t>
  </si>
  <si>
    <t xml:space="preserve">Fort Worth</t>
  </si>
  <si>
    <t xml:space="preserve">76132</t>
  </si>
  <si>
    <t xml:space="preserve">cedarhill.negotiations@totalcare.us</t>
  </si>
  <si>
    <t xml:space="preserve">(817) 566-1232</t>
  </si>
  <si>
    <t xml:space="preserve">Also written "SILVER ALLIANCE,LLC" and "6049 S. Hulen St" (no period) on DISP-7986216.</t>
  </si>
  <si>
    <t xml:space="preserve">872524265</t>
  </si>
  <si>
    <t xml:space="preserve">1609548056</t>
  </si>
  <si>
    <t xml:space="preserve">Totalcare ER, Cedar Hill</t>
  </si>
  <si>
    <t xml:space="preserve">Code</t>
  </si>
  <si>
    <t xml:space="preserve">Description</t>
  </si>
  <si>
    <t xml:space="preserve">Lines with a QPA</t>
  </si>
  <si>
    <t xml:space="preserve">QPA min</t>
  </si>
  <si>
    <t xml:space="preserve">QPA max</t>
  </si>
  <si>
    <t xml:space="preserve">Typical QPA range seen</t>
  </si>
  <si>
    <t xml:space="preserve">observed</t>
  </si>
  <si>
    <t xml:space="preserve">seed (not seen)</t>
  </si>
  <si>
    <t xml:space="preserve">Note</t>
  </si>
  <si>
    <t xml:space="preserve">Times seen, QPA min and QPA max are formulas over the Observed lines sheet. Lines with a blank QPA (DISP-7998956 lines 2–11) count as seen but are left out of the range.</t>
  </si>
  <si>
    <t xml:space="preserve">Portal field</t>
  </si>
  <si>
    <t xml:space="preserve">Observed value</t>
  </si>
  <si>
    <t xml:space="preserve">Count</t>
  </si>
  <si>
    <t xml:space="preserve">Out of</t>
  </si>
  <si>
    <t xml:space="preserve">Share</t>
  </si>
  <si>
    <t xml:space="preserve">Unit</t>
  </si>
  <si>
    <t xml:space="preserve">Studio action</t>
  </si>
  <si>
    <t xml:space="preserve">notices</t>
  </si>
  <si>
    <t xml:space="preserve">Default No; Yes = hard stop.</t>
  </si>
  <si>
    <t xml:space="preserve">Comes from the billing entity profile.</t>
  </si>
  <si>
    <t xml:space="preserve">Tax ID / NPI</t>
  </si>
  <si>
    <t xml:space="preserve">Facility 862923814 / 1972273233</t>
  </si>
  <si>
    <t xml:space="preserve">New fields tin and npi, filled from the billing entity.</t>
  </si>
  <si>
    <t xml:space="preserve">Provider 872524265 / 1609548056</t>
  </si>
  <si>
    <t xml:space="preserve">First real option; default.</t>
  </si>
  <si>
    <t xml:space="preserve">09/01/2026</t>
  </si>
  <si>
    <t xml:space="preserve">Deadline helper. Initiated on the last day of open negotiation.</t>
  </si>
  <si>
    <t xml:space="preserve">09/02/2026</t>
  </si>
  <si>
    <t xml:space="preserve">"OMB &lt;account&gt;.pdf"</t>
  </si>
  <si>
    <t xml:space="preserve">Keep upload; suggest a name.</t>
  </si>
  <si>
    <t xml:space="preserve">"PROOF &lt;account&gt;.png"</t>
  </si>
  <si>
    <t xml:space="preserve">"&lt;date&gt; LLC NSA NEG LETTER C &lt;account&gt;.pdf"</t>
  </si>
  <si>
    <t xml:space="preserve">Consent to waive surprise billing protections</t>
  </si>
  <si>
    <t xml:space="preserve">New field dispute_kind; default A batched dispute.</t>
  </si>
  <si>
    <t xml:space="preserve">Warn if Single dispute and more than 1 claim number.</t>
  </si>
  <si>
    <t xml:space="preserve">Provider/facility Name:</t>
  </si>
  <si>
    <t xml:space="preserve">SILVER ALLIANCE LLC (incl. 1 written "SILVER ALLIANCE,LLC")</t>
  </si>
  <si>
    <t xml:space="preserve">Billing entity combo; typo check.</t>
  </si>
  <si>
    <t xml:space="preserve">Billing entity combo.</t>
  </si>
  <si>
    <t xml:space="preserve">New field prov_group_name (optional). Shown only for the provider.</t>
  </si>
  <si>
    <t xml:space="preserve">Provider address / email / phone</t>
  </si>
  <si>
    <t xml:space="preserve">6049 S. Hulen St., Fort Worth TX 76132; cedarhill.negotiations@totalcare.us; (817) 566-1232</t>
  </si>
  <si>
    <t xml:space="preserve">Filled from the billing entity. No fax.</t>
  </si>
  <si>
    <t xml:space="preserve">Points of contact (provider and plan)</t>
  </si>
  <si>
    <t xml:space="preserve">Empty</t>
  </si>
  <si>
    <t xml:space="preserve">Collapse the POC sections by default.</t>
  </si>
  <si>
    <t xml:space="preserve">Plan / issuer Name:</t>
  </si>
  <si>
    <t xml:space="preserve">Payer address book.</t>
  </si>
  <si>
    <t xml:space="preserve">Claim number and date of service</t>
  </si>
  <si>
    <t xml:space="preserve">One claim per dispute</t>
  </si>
  <si>
    <t xml:space="preserve">Add-line copies claim number, date and QPA doc.</t>
  </si>
  <si>
    <t xml:space="preserve">One EOB file per claim ("EOB &lt;account&gt;.pdf" or "&lt;date&gt; LLC EOB C &lt;account&gt;.pdf")</t>
  </si>
  <si>
    <t xml:space="preserve">One upload covers all lines of the claim.</t>
  </si>
  <si>
    <t xml:space="preserve">Cost sharing + initial payment = QPA</t>
  </si>
  <si>
    <t xml:space="preserve">True</t>
  </si>
  <si>
    <t xml:space="preserve">lines with values</t>
  </si>
  <si>
    <t xml:space="preserve">Suggest initial = QPA − cost sharing; warn when it does not add up.</t>
  </si>
  <si>
    <t xml:space="preserve">Cost sharing = QPA, initial 0.00</t>
  </si>
  <si>
    <t xml:space="preserve">Common pattern (UMR).</t>
  </si>
  <si>
    <t xml:space="preserve">lines</t>
  </si>
  <si>
    <t xml:space="preserve">Default.</t>
  </si>
  <si>
    <t xml:space="preserve">Default empty; make optional.</t>
  </si>
  <si>
    <t xml:space="preserve">Default 23.</t>
  </si>
  <si>
    <t xml:space="preserve">Default TX.</t>
  </si>
  <si>
    <t xml:space="preserve">"UB04 Form C-&lt;account&gt;.pdf"</t>
  </si>
  <si>
    <t xml:space="preserve">Keep upload.</t>
  </si>
  <si>
    <t xml:space="preserve">New field idr_entity; default = most used.</t>
  </si>
  <si>
    <t xml:space="preserve">New field third_party_attest; default No.</t>
  </si>
  <si>
    <t xml:space="preserve">Provider/facility name</t>
  </si>
  <si>
    <t xml:space="preserve">Summary shows "Signature: &lt;entity name&gt;".</t>
  </si>
  <si>
    <t xml:space="preserve">Data quality</t>
  </si>
  <si>
    <t xml:space="preserve">Line with blank claim number, date, QPA, POS and location</t>
  </si>
  <si>
    <t xml:space="preserve">Require these on every line. All blanks are DISP-7998956 lines 2–11.</t>
  </si>
  <si>
    <t xml:space="preserve">Lines per dispute</t>
  </si>
  <si>
    <t xml:space="preserve">4, 7, 13 and 11 lines</t>
  </si>
  <si>
    <t xml:space="preserve">lines in 4 notices</t>
  </si>
  <si>
    <t xml:space="preserve">Up to 50 lines per dispute.</t>
  </si>
  <si>
    <t xml:space="preserve">Deadline (computed)</t>
  </si>
  <si>
    <t xml:space="preserve">ON start 09/01/2026 → ON ends 10/15/2026 → initiate by 10/21/2026</t>
  </si>
  <si>
    <t xml:space="preserve">30 business days from the day after the start; then 4 business days. Labor Day and Columbus Day skipped.</t>
  </si>
  <si>
    <t xml:space="preserve">ON start 09/02/2026 → ON ends 10/16/2026 → initiate by 10/22/2026</t>
  </si>
  <si>
    <t xml:space="preserve">Dispute ref</t>
  </si>
  <si>
    <t xml:space="preserve">Billing entity</t>
  </si>
  <si>
    <t xml:space="preserve">Line no</t>
  </si>
  <si>
    <t xml:space="preserve">Service code</t>
  </si>
  <si>
    <t xml:space="preserve">QPA</t>
  </si>
  <si>
    <t xml:space="preserve">Cost sharing</t>
  </si>
  <si>
    <t xml:space="preserve">Initial payment</t>
  </si>
  <si>
    <t xml:space="preserve">Item type</t>
  </si>
  <si>
    <t xml:space="preserve">POS</t>
  </si>
  <si>
    <t xml:space="preserve">Location</t>
  </si>
  <si>
    <t xml:space="preserve">IDR entity</t>
  </si>
  <si>
    <t xml:space="preserve">Data-quality flag</t>
  </si>
  <si>
    <t xml:space="preserve">SILVER ALLIANCE,LLC</t>
  </si>
  <si>
    <t xml:space="preserve">Entity name written "SILVER ALLIANCE,LLC".</t>
  </si>
  <si>
    <t xml:space="preserve">Blank claim number; blank date of service; QPA "$" only; no QPA documentation; cost sharing "$" only; initial payment "N/A"; blank POS; blank location.</t>
  </si>
  <si>
    <t xml:space="preserve">Requirement</t>
  </si>
  <si>
    <t xml:space="preserve">Acceptance criteria</t>
  </si>
  <si>
    <t xml:space="preserve">Priority</t>
  </si>
  <si>
    <t xml:space="preserve">L01</t>
  </si>
  <si>
    <t xml:space="preserve">The Options tab is the single source for every list. Columns: List | Value | Label | Data | Count | LastUsed | Source | Status | AddedBy | AddedAt.</t>
  </si>
  <si>
    <t xml:space="preserve">setup() adds the missing columns without losing rows. Every list in the app is read from Options.</t>
  </si>
  <si>
    <t xml:space="preserve">Do first</t>
  </si>
  <si>
    <t xml:space="preserve">L02</t>
  </si>
  <si>
    <t xml:space="preserve">Combo fields allow free typing with suggestions ranked by Count, then LastUsed. Fields: plan_name, prov_name, q_plan_type, idr_entity, service_code, modifiers, pos_code, Team, Owner, ReturnReason. State stays a strict select.</t>
  </si>
  <si>
    <t xml:space="preserve">Typing 2 letters shows matching Active values, most used first. A new value can be saved.</t>
  </si>
  <si>
    <t xml:space="preserve">L03</t>
  </si>
  <si>
    <t xml:space="preserve">Learn on save: saveDispute, saveLine and returnDispute call learn_(list, value, data). A new value adds a row with Source=learned and Count=1. An existing value gets Count+1 and LastUsed=now.</t>
  </si>
  <si>
    <t xml:space="preserve">Saving a dispute with a new payer adds one row. Saving again increases Count. No duplicate rows.</t>
  </si>
  <si>
    <t xml:space="preserve">L04</t>
  </si>
  <si>
    <t xml:space="preserve">For profile lists (Payer, BillingEntity, ServiceCode), learn_() updates the Data JSON with the latest non-empty profile fields.</t>
  </si>
  <si>
    <t xml:space="preserve">Changing a payer phone and saving updates Payer Data.phone. Empty fields do not erase stored values.</t>
  </si>
  <si>
    <t xml:space="preserve">L05</t>
  </si>
  <si>
    <t xml:space="preserve">learn_() clears the options cache, so new values show for everyone on the next page load.</t>
  </si>
  <si>
    <t xml:space="preserve">A value saved by user A appears for user B after a reload.</t>
  </si>
  <si>
    <t xml:space="preserve">L06</t>
  </si>
  <si>
    <t xml:space="preserve">Profile auto-fill: a payer fills the plan contact fields. A billing entity fills q_acting_as, tin, npi, prov_designation, prov_group_name and provider contact fields. A service code fills description.</t>
  </si>
  <si>
    <t xml:space="preserve">Only empty fields are filled. "Refill from &lt;name&gt;" overwrites. A note "Filled from the address book" shows.</t>
  </si>
  <si>
    <t xml:space="preserve">L07</t>
  </si>
  <si>
    <t xml:space="preserve">Learned defaults: suggestDefaults_() finds the most-used value in the last DefaultWindow (50) saved records. If its share is at least DefaultShare (0.8), it is the default. Otherwise the seeded default is used.</t>
  </si>
  <si>
    <t xml:space="preserve">Computed in getBootstrap, cached 10 minutes. Fields: q_prior_2022, q_acting_as, q_plan_type, consent_waiver, dispute_kind, prov_name, idr_entity, third_party_attest, item_types, pos_code, location, modifiers.</t>
  </si>
  <si>
    <t xml:space="preserve">Do next</t>
  </si>
  <si>
    <t xml:space="preserve">L08</t>
  </si>
  <si>
    <t xml:space="preserve">Defaults are pre-selected on a new dispute and a new line and marked with a "default" chip. The user can change them.</t>
  </si>
  <si>
    <t xml:space="preserve">New dispute shows No, No, A batched dispute, POS 23, TX pre-selected with a chip.</t>
  </si>
  <si>
    <t xml:space="preserve">L09</t>
  </si>
  <si>
    <t xml:space="preserve">Admin "Lists" view for users in the Admin list: rename, merge (move counts into another value), hide and reactivate values.</t>
  </si>
  <si>
    <t xml:space="preserve">adminListOptions(list) and adminUpdateOption(list, value, change) reject non-admins. Merge adds Count to the target and hides the source.</t>
  </si>
  <si>
    <t xml:space="preserve">L10</t>
  </si>
  <si>
    <t xml:space="preserve">Hidden values never show as suggestions.</t>
  </si>
  <si>
    <t xml:space="preserve">A hidden payer does not appear in the combo. Existing disputes keep their stored text.</t>
  </si>
  <si>
    <t xml:space="preserve">L11</t>
  </si>
  <si>
    <t xml:space="preserve">Typo protection: a typed value within edit distance 2 of an existing value (case-insensitive, punctuation ignored) shows "Did you mean …?" before it is saved as new.</t>
  </si>
  <si>
    <t xml:space="preserve">"SILVER ALLIANCE,LLC" prompts "Did you mean SILVER ALLIANCE LLC?".</t>
  </si>
  <si>
    <t xml:space="preserve">L12</t>
  </si>
  <si>
    <t xml:space="preserve">Training phase: Settings LearningMode = On adds new values as Active. Off adds them as Hidden, pending admin approval. Default On.</t>
  </si>
  <si>
    <t xml:space="preserve">Switching LearningMode to Off makes the next new value Hidden with Source=learned.</t>
  </si>
  <si>
    <t xml:space="preserve">L13</t>
  </si>
  <si>
    <t xml:space="preserve">Insights view (getInsights): top values per list with counts and share, current learned defaults, and values added this week.</t>
  </si>
  <si>
    <t xml:space="preserve">Shows the 4 payers and 3 IDR entities with counts. Week count matches AddedAt.</t>
  </si>
  <si>
    <t xml:space="preserve">Do later</t>
  </si>
  <si>
    <t xml:space="preserve">L14</t>
  </si>
  <si>
    <t xml:space="preserve">Settings tab (Key | Value | Note) read by getSettings_(). Seed: LearningMode On, DefaultWindow 50, DefaultShare 0.8.</t>
  </si>
  <si>
    <t xml:space="preserve">setup() seeds missing keys only and never overwrites a value an admin changed.</t>
  </si>
  <si>
    <t xml:space="preserve">L15</t>
  </si>
  <si>
    <t xml:space="preserve">setup() is idempotent for Options: it adds missing seed rows and never duplicates them. The 7 placeholder plan types are removed.</t>
  </si>
  <si>
    <t xml:space="preserve">Running setup() twice gives the same row count.</t>
  </si>
  <si>
    <t xml:space="preserve">Rule ID</t>
  </si>
  <si>
    <t xml:space="preserve">Field(s)</t>
  </si>
  <si>
    <t xml:space="preserve">Rule</t>
  </si>
  <si>
    <t xml:space="preserve">Message</t>
  </si>
  <si>
    <t xml:space="preserve">Blocking/Warning</t>
  </si>
  <si>
    <t xml:space="preserve">V01</t>
  </si>
  <si>
    <t xml:space="preserve">All required fields</t>
  </si>
  <si>
    <t xml:space="preserve">Not empty.</t>
  </si>
  <si>
    <t xml:space="preserve">&lt;label&gt; is required</t>
  </si>
  <si>
    <t xml:space="preserve">Blocking</t>
  </si>
  <si>
    <t xml:space="preserve">Existing</t>
  </si>
  <si>
    <t xml:space="preserve">*_zip</t>
  </si>
  <si>
    <t xml:space="preserve">Accept 12345, 12345-6789 or 123456789. Store 12345 or 12345-6789.</t>
  </si>
  <si>
    <t xml:space="preserve">must look like 12345 or 12345-6789</t>
  </si>
  <si>
    <t xml:space="preserve">Changed</t>
  </si>
  <si>
    <t xml:space="preserve">*_phone, *_fax</t>
  </si>
  <si>
    <t xml:space="preserve">Accept (817) 566-1232, 817-566-1232 or 8175661232. Store and show as (817) 566-1232.</t>
  </si>
  <si>
    <t xml:space="preserve">must be a 10-digit phone number, like (817) 566-1232</t>
  </si>
  <si>
    <t xml:space="preserve">*_email</t>
  </si>
  <si>
    <t xml:space="preserve">^[^@\s]+@[^@\s]+\.[^@\s]+$</t>
  </si>
  <si>
    <t xml:space="preserve">is not a valid email</t>
  </si>
  <si>
    <t xml:space="preserve">V05</t>
  </si>
  <si>
    <t xml:space="preserve">qpa, cost_sharing, initial_payment</t>
  </si>
  <si>
    <t xml:space="preserve">^\d+(\.\d{1,2})?$ after removing $ , and spaces.</t>
  </si>
  <si>
    <t xml:space="preserve">must be an amount like 154.00</t>
  </si>
  <si>
    <t xml:space="preserve">V06</t>
  </si>
  <si>
    <t xml:space="preserve">All date fields</t>
  </si>
  <si>
    <t xml:space="preserve">YYYY-MM-DD.</t>
  </si>
  <si>
    <t xml:space="preserve">must be a date</t>
  </si>
  <si>
    <t xml:space="preserve">V07</t>
  </si>
  <si>
    <t xml:space="preserve">On or after 2022-01-01.</t>
  </si>
  <si>
    <t xml:space="preserve">must be on or after 2022-01-01</t>
  </si>
  <si>
    <t xml:space="preserve">V08</t>
  </si>
  <si>
    <t xml:space="preserve">Not in the future.</t>
  </si>
  <si>
    <t xml:space="preserve">cannot be in the future</t>
  </si>
  <si>
    <t xml:space="preserve">V09</t>
  </si>
  <si>
    <t xml:space="preserve">^\d{9}$</t>
  </si>
  <si>
    <t xml:space="preserve">Tax ID must be 9 digits</t>
  </si>
  <si>
    <t xml:space="preserve">New</t>
  </si>
  <si>
    <t xml:space="preserve">V10</t>
  </si>
  <si>
    <t xml:space="preserve">^\d{10}$</t>
  </si>
  <si>
    <t xml:space="preserve">NPI must be 10 digits</t>
  </si>
  <si>
    <t xml:space="preserve">V11</t>
  </si>
  <si>
    <t xml:space="preserve">Yes stops the dispute.</t>
  </si>
  <si>
    <t xml:space="preserve">Not eligible for federal IDR</t>
  </si>
  <si>
    <t xml:space="preserve">V12</t>
  </si>
  <si>
    <t xml:space="preserve">V13</t>
  </si>
  <si>
    <t xml:space="preserve">Initiate-by date (businessDeadline_) has passed.</t>
  </si>
  <si>
    <t xml:space="preserve">V14</t>
  </si>
  <si>
    <t xml:space="preserve">1 business day or less left. Show the helper in red.</t>
  </si>
  <si>
    <t xml:space="preserve">Open negotiation ends &lt;date&gt;. Initiate by &lt;date&gt; (&lt;n&gt; business days left).</t>
  </si>
  <si>
    <t xml:space="preserve">Warning</t>
  </si>
  <si>
    <t xml:space="preserve">V15</t>
  </si>
  <si>
    <t xml:space="preserve">dispute_kind, claim_number</t>
  </si>
  <si>
    <t xml:space="preserve">Single dispute with more than 1 distinct claim number.</t>
  </si>
  <si>
    <t xml:space="preserve">A single dispute should cover one claim. Check "What are you disputing today?"</t>
  </si>
  <si>
    <t xml:space="preserve">V16</t>
  </si>
  <si>
    <t xml:space="preserve">cost_sharing, qpa</t>
  </si>
  <si>
    <t xml:space="preserve">cost_sharing &gt; qpa.</t>
  </si>
  <si>
    <t xml:space="preserve">Cost sharing is more than the QPA</t>
  </si>
  <si>
    <t xml:space="preserve">V17</t>
  </si>
  <si>
    <t xml:space="preserve">cost_sharing, initial_payment, qpa</t>
  </si>
  <si>
    <t xml:space="preserve">cost_sharing + initial_payment ≠ qpa (when both are filled).</t>
  </si>
  <si>
    <t xml:space="preserve">Cost sharing plus initial payment does not equal the QPA</t>
  </si>
  <si>
    <t xml:space="preserve">V18</t>
  </si>
  <si>
    <t xml:space="preserve">qpa, initial_payment</t>
  </si>
  <si>
    <t xml:space="preserve">qpa = 0, or initial_payment &gt; qpa.</t>
  </si>
  <si>
    <t xml:space="preserve">Check the QPA and the initial payment</t>
  </si>
  <si>
    <t xml:space="preserve">V19</t>
  </si>
  <si>
    <t xml:space="preserve">claim_number, service_date, qpa, cost_sharing, pos_code, location</t>
  </si>
  <si>
    <t xml:space="preserve">Required on every line (DISP-7998956 data-quality finding).</t>
  </si>
  <si>
    <t xml:space="preserve">Line &lt;n&gt;: &lt;label&gt; is required</t>
  </si>
  <si>
    <t xml:space="preserve">V20</t>
  </si>
  <si>
    <t xml:space="preserve">Line items</t>
  </si>
  <si>
    <t xml:space="preserve">At least 1 line.</t>
  </si>
  <si>
    <t xml:space="preserve">Add at least one line item.</t>
  </si>
  <si>
    <t xml:space="preserve">V21</t>
  </si>
  <si>
    <t xml:space="preserve">At most 50 lines.</t>
  </si>
  <si>
    <t xml:space="preserve">A batched dispute can have at most 50 line items.</t>
  </si>
  <si>
    <t xml:space="preserve">V22</t>
  </si>
  <si>
    <t xml:space="preserve">Claim number already in another dispute that is not Returned.</t>
  </si>
  <si>
    <t xml:space="preserve">This claim is already in dispute &lt;id&gt;</t>
  </si>
  <si>
    <t xml:space="preserve">V23</t>
  </si>
  <si>
    <t xml:space="preserve">Each line has a QPA file, or a file marked for all lines with the same claim number.</t>
  </si>
  <si>
    <t xml:space="preserve">Line &lt;n&gt;: QPA documentation is missing</t>
  </si>
  <si>
    <t xml:space="preserve">V24</t>
  </si>
  <si>
    <t xml:space="preserve">At least 1 file.</t>
  </si>
  <si>
    <t xml:space="preserve">Proof of open negotiation is missing</t>
  </si>
  <si>
    <t xml:space="preserve">V25</t>
  </si>
  <si>
    <t xml:space="preserve">Required when item_types includes "Other: Provide description".</t>
  </si>
  <si>
    <t xml:space="preserve">Other: Provide description is required</t>
  </si>
  <si>
    <t xml:space="preserve">V26</t>
  </si>
  <si>
    <t xml:space="preserve">Certified IDR entity is required</t>
  </si>
  <si>
    <t xml:space="preserve">V27</t>
  </si>
  <si>
    <t xml:space="preserve">Yes or No.</t>
  </si>
  <si>
    <t xml:space="preserve">Third Party Attestation is required</t>
  </si>
  <si>
    <t xml:space="preserve">V28</t>
  </si>
  <si>
    <t xml:space="preserve">^DISP-\d{7}$</t>
  </si>
  <si>
    <t xml:space="preserve">Enter the portal dispute number, like DISP-1234567</t>
  </si>
  <si>
    <t xml:space="preserve">A portal confirmation PDF is attached to mark Filed.</t>
  </si>
  <si>
    <t xml:space="preserve">Attach the portal confirmation PDF</t>
  </si>
  <si>
    <t xml:space="preserve">V30</t>
  </si>
  <si>
    <t xml:space="preserve">Not empty; from ReturnReason (combo).</t>
  </si>
  <si>
    <t xml:space="preserve">Say what needs fixing.</t>
  </si>
  <si>
    <t xml:space="preserve">V31</t>
  </si>
  <si>
    <t xml:space="preserve">All combo fields</t>
  </si>
  <si>
    <t xml:space="preserve">Typed value within edit distance 2 of an Active value (case-insensitive, punctuation ignored).</t>
  </si>
  <si>
    <t xml:space="preserve">Did you mean &lt;value&gt;?</t>
  </si>
  <si>
    <t xml:space="preserve">V32</t>
  </si>
  <si>
    <t xml:space="preserve">*_state, location</t>
  </si>
  <si>
    <t xml:space="preserve">Strict select from the State list.</t>
  </si>
  <si>
    <t xml:space="preserve">Pick a state from the list</t>
  </si>
  <si>
    <t xml:space="preserve">V33</t>
  </si>
  <si>
    <t xml:space="preserve">Optional. Code.gs has required: true today; change it.</t>
  </si>
  <si>
    <t xml:space="preserve">(none)</t>
  </si>
  <si>
    <t xml:space="preserve">V34</t>
  </si>
  <si>
    <t xml:space="preserve">Any edit</t>
  </si>
  <si>
    <t xml:space="preserve">Filed disputes cannot be edited.</t>
  </si>
  <si>
    <t xml:space="preserve">This dispute is already filed and can no longer be edited.</t>
  </si>
  <si>
    <t xml:space="preserve">V35</t>
  </si>
  <si>
    <t xml:space="preserve">Any upload</t>
  </si>
  <si>
    <t xml:space="preserve">Under 45 MB.</t>
  </si>
  <si>
    <t xml:space="preserve">Files must be under 45 MB each.</t>
  </si>
  <si>
    <t xml:space="preserve">V36</t>
  </si>
  <si>
    <t xml:space="preserve">Dispute saved first.</t>
  </si>
  <si>
    <t xml:space="preserve">Save the page before uploading files.</t>
  </si>
  <si>
    <t xml:space="preserve">V37</t>
  </si>
  <si>
    <t xml:space="preserve">Line items (batching)</t>
  </si>
  <si>
    <t xml:space="preserve">Service dates on one batched dispute fall within a 30-business-day window.</t>
  </si>
  <si>
    <t xml:space="preserve">These lines may not be batched together</t>
  </si>
  <si>
    <t xml:space="preserve">Planned</t>
  </si>
  <si>
    <t xml:space="preserve">From status</t>
  </si>
  <si>
    <t xml:space="preserve">Action</t>
  </si>
  <si>
    <t xml:space="preserve">To status</t>
  </si>
  <si>
    <t xml:space="preserve">Who</t>
  </si>
  <si>
    <t xml:space="preserve">Required conditions</t>
  </si>
  <si>
    <t xml:space="preserve">Server function</t>
  </si>
  <si>
    <t xml:space="preserve">Log event</t>
  </si>
  <si>
    <t xml:space="preserve">Save page 1</t>
  </si>
  <si>
    <t xml:space="preserve">Draft</t>
  </si>
  <si>
    <t xml:space="preserve">Lebanon preparer</t>
  </si>
  <si>
    <t xml:space="preserve">None. A new DisputeID (IDR-yymmdd-XXXX) and Drive folder are created.</t>
  </si>
  <si>
    <t xml:space="preserve">saveDispute</t>
  </si>
  <si>
    <t xml:space="preserve">save</t>
  </si>
  <si>
    <t xml:space="preserve">Save any page or line</t>
  </si>
  <si>
    <t xml:space="preserve">Not Filed. Learn on save (L03).</t>
  </si>
  <si>
    <t xml:space="preserve">saveDispute, saveLine, deleteLine</t>
  </si>
  <si>
    <t xml:space="preserve">save, line:&lt;n&gt;</t>
  </si>
  <si>
    <t xml:space="preserve">Upload or remove a file</t>
  </si>
  <si>
    <t xml:space="preserve">Dispute saved; under 45 MB.</t>
  </si>
  <si>
    <t xml:space="preserve">uploadFile, removeFile</t>
  </si>
  <si>
    <t xml:space="preserve">upload, file-removed</t>
  </si>
  <si>
    <t xml:space="preserve">Save &amp; create confirmation PDF</t>
  </si>
  <si>
    <t xml:space="preserve">Ready for US desk</t>
  </si>
  <si>
    <t xml:space="preserve">No blocking rules (V01–V36), including eligibility (V11, V12) and deadline (V13). Warnings shown, not blocking.</t>
  </si>
  <si>
    <t xml:space="preserve">finalizeDispute</t>
  </si>
  <si>
    <t xml:space="preserve">status</t>
  </si>
  <si>
    <t xml:space="preserve">Filed</t>
  </si>
  <si>
    <t xml:space="preserve">US desk (UsDeskUser)</t>
  </si>
  <si>
    <t xml:space="preserve">Portal number matches ^DISP-\d{7}$ and portal confirmation PDF attached (V28, V29).</t>
  </si>
  <si>
    <t xml:space="preserve">markFiled</t>
  </si>
  <si>
    <t xml:space="preserve">Returned</t>
  </si>
  <si>
    <t xml:space="preserve">Reason from ReturnReason (V30). Reason is learned.</t>
  </si>
  <si>
    <t xml:space="preserve">returnDispute</t>
  </si>
  <si>
    <t xml:space="preserve">Edit</t>
  </si>
  <si>
    <t xml:space="preserve">Allowed in Code.gs today. Status does not change. See Open questions.</t>
  </si>
  <si>
    <t xml:space="preserve">saveDispute, saveLine</t>
  </si>
  <si>
    <t xml:space="preserve">Fix and save</t>
  </si>
  <si>
    <t xml:space="preserve">Reason shown at the top. Status stays Returned until finalized.</t>
  </si>
  <si>
    <t xml:space="preserve">Same as Draft → Ready. ReturnReason is cleared.</t>
  </si>
  <si>
    <t xml:space="preserve">(any edit)</t>
  </si>
  <si>
    <t xml:space="preserve">Nobody</t>
  </si>
  <si>
    <t xml:space="preserve">Locked (V34).</t>
  </si>
  <si>
    <t xml:space="preserve">-</t>
  </si>
  <si>
    <t xml:space="preserve">(any)</t>
  </si>
  <si>
    <t xml:space="preserve">Manage lists</t>
  </si>
  <si>
    <t xml:space="preserve">(no change)</t>
  </si>
  <si>
    <t xml:space="preserve">User in the Admin list. Rename, merge, hide, reactivate.</t>
  </si>
  <si>
    <t xml:space="preserve">adminListOptions, adminUpdateOption</t>
  </si>
  <si>
    <t xml:space="preserve">admin</t>
  </si>
  <si>
    <t xml:space="preserve">View insights</t>
  </si>
  <si>
    <t xml:space="preserve">Any user</t>
  </si>
  <si>
    <t xml:space="preserve">None.</t>
  </si>
  <si>
    <t xml:space="preserve">getInsights</t>
  </si>
  <si>
    <t xml:space="preserve">Table</t>
  </si>
  <si>
    <t xml:space="preserve">Column</t>
  </si>
  <si>
    <t xml:space="preserve">Disputes</t>
  </si>
  <si>
    <t xml:space="preserve">DisputeID</t>
  </si>
  <si>
    <t xml:space="preserve">Key. IDR-yymmdd-XXXX.</t>
  </si>
  <si>
    <t xml:space="preserve">Draft, Ready for US desk, Filed, Returned.</t>
  </si>
  <si>
    <t xml:space="preserve">text (combo)</t>
  </si>
  <si>
    <t xml:space="preserve">Learned.</t>
  </si>
  <si>
    <t xml:space="preserve">CreatedBy</t>
  </si>
  <si>
    <t xml:space="preserve">CreatedAt</t>
  </si>
  <si>
    <t xml:space="preserve">timestamp</t>
  </si>
  <si>
    <t xml:space="preserve">yyyy-MM-dd HH:mm:ss</t>
  </si>
  <si>
    <t xml:space="preserve">UpdatedBy</t>
  </si>
  <si>
    <t xml:space="preserve">UpdatedAt</t>
  </si>
  <si>
    <t xml:space="preserve">FolderUrl</t>
  </si>
  <si>
    <t xml:space="preserve">url</t>
  </si>
  <si>
    <t xml:space="preserve">Drive folder of the dispute.</t>
  </si>
  <si>
    <t xml:space="preserve">ConfirmationPdfUrl</t>
  </si>
  <si>
    <t xml:space="preserve">ReadyAt</t>
  </si>
  <si>
    <t xml:space="preserve">FiledBy</t>
  </si>
  <si>
    <t xml:space="preserve">FiledAt</t>
  </si>
  <si>
    <t xml:space="preserve">Field. See Fields.</t>
  </si>
  <si>
    <t xml:space="preserve">LineItems</t>
  </si>
  <si>
    <t xml:space="preserve">Link to Disputes.</t>
  </si>
  <si>
    <t xml:space="preserve">LineNo</t>
  </si>
  <si>
    <t xml:space="preserve">number</t>
  </si>
  <si>
    <t xml:space="preserve">1 to 50.</t>
  </si>
  <si>
    <t xml:space="preserve">Files</t>
  </si>
  <si>
    <t xml:space="preserve">Category</t>
  </si>
  <si>
    <t xml:space="preserve">on_evidence, qpa, additional, confirmation_pdf, portal_confirmation.</t>
  </si>
  <si>
    <t xml:space="preserve">For qpa files.</t>
  </si>
  <si>
    <t xml:space="preserve">Url</t>
  </si>
  <si>
    <t xml:space="preserve">FileId</t>
  </si>
  <si>
    <t xml:space="preserve">Drive file id.</t>
  </si>
  <si>
    <t xml:space="preserve">UploadedBy</t>
  </si>
  <si>
    <t xml:space="preserve">UploadedAt</t>
  </si>
  <si>
    <t xml:space="preserve">ClaimNumber</t>
  </si>
  <si>
    <t xml:space="preserve">New (assumed). Lets one QPA file cover all lines with this claim number (V23).</t>
  </si>
  <si>
    <t xml:space="preserve">Options</t>
  </si>
  <si>
    <t xml:space="preserve">List name, e.g. Payer.</t>
  </si>
  <si>
    <t xml:space="preserve">Stored value.</t>
  </si>
  <si>
    <t xml:space="preserve">Shown text, e.g. service code description.</t>
  </si>
  <si>
    <t xml:space="preserve">Data</t>
  </si>
  <si>
    <t xml:space="preserve">JSON text</t>
  </si>
  <si>
    <t xml:space="preserve">Profile fields for Payer, BillingEntity, ServiceCode.</t>
  </si>
  <si>
    <t xml:space="preserve">Times used.</t>
  </si>
  <si>
    <t xml:space="preserve">LastUsed</t>
  </si>
  <si>
    <t xml:space="preserve">seed or learned.</t>
  </si>
  <si>
    <t xml:space="preserve">Active or Hidden.</t>
  </si>
  <si>
    <t xml:space="preserve">AddedBy</t>
  </si>
  <si>
    <t xml:space="preserve">AddedAt</t>
  </si>
  <si>
    <t xml:space="preserve">Existing column today. Keep at the end or migrate into Label (open question).</t>
  </si>
  <si>
    <t xml:space="preserve">Settings</t>
  </si>
  <si>
    <t xml:space="preserve">Key</t>
  </si>
  <si>
    <t xml:space="preserve">LearningMode, DefaultWindow, DefaultShare.</t>
  </si>
  <si>
    <t xml:space="preserve">Seed: LearningMode = On; DefaultWindow = 50; DefaultShare = 0.8.</t>
  </si>
  <si>
    <t xml:space="preserve">Plain-language help for admins (assumed column).</t>
  </si>
  <si>
    <t xml:space="preserve">Log</t>
  </si>
  <si>
    <t xml:space="preserve">Timestamp</t>
  </si>
  <si>
    <t xml:space="preserve">User</t>
  </si>
  <si>
    <t xml:space="preserve">Event</t>
  </si>
  <si>
    <t xml:space="preserve">save, line:&lt;n&gt;, upload, file-removed, status, learn, admin.</t>
  </si>
  <si>
    <t xml:space="preserve">Details</t>
  </si>
  <si>
    <t xml:space="preserve">Function</t>
  </si>
  <si>
    <t xml:space="preserve">Visibility</t>
  </si>
  <si>
    <t xml:space="preserve">Inputs</t>
  </si>
  <si>
    <t xml:space="preserve">Outputs</t>
  </si>
  <si>
    <t xml:space="preserve">doGet</t>
  </si>
  <si>
    <t xml:space="preserve">Public</t>
  </si>
  <si>
    <t xml:space="preserve">HtmlOutput</t>
  </si>
  <si>
    <t xml:space="preserve">Serves Index.html with the bootstrap data inlined.</t>
  </si>
  <si>
    <t xml:space="preserve">getBootstrap</t>
  </si>
  <si>
    <t xml:space="preserve">withList (boolean)</t>
  </si>
  <si>
    <t xml:space="preserve">{user, isUsDesk, isAdmin, schema, options, defaults, settings, status, listFilter?, list?}</t>
  </si>
  <si>
    <t xml:space="preserve">First screen data. v2 adds isAdmin, defaults (suggestDefaults_) and settings; options carry label, data, count.</t>
  </si>
  <si>
    <t xml:space="preserve">listDisputes</t>
  </si>
  <si>
    <t xml:space="preserve">filter (status or "All")</t>
  </si>
  <si>
    <t xml:space="preserve">[{id, status, team, owner, plan, lines, updatedAt, updatedBy, returnReason, pdf}]</t>
  </si>
  <si>
    <t xml:space="preserve">Dispute list, newest first.</t>
  </si>
  <si>
    <t xml:space="preserve">getDispute</t>
  </si>
  <si>
    <t xml:space="preserve">id</t>
  </si>
  <si>
    <t xml:space="preserve">{dispute, lines, files}</t>
  </si>
  <si>
    <t xml:space="preserve">Everything for one dispute in one read.</t>
  </si>
  <si>
    <t xml:space="preserve">payload {id?, page, values}</t>
  </si>
  <si>
    <t xml:space="preserve">{id, bundle}</t>
  </si>
  <si>
    <t xml:space="preserve">Creates or updates the header. v2 calls learn_ for combo values.</t>
  </si>
  <si>
    <t xml:space="preserve">saveLine</t>
  </si>
  <si>
    <t xml:space="preserve">id, lineNo?, values</t>
  </si>
  <si>
    <t xml:space="preserve">{lineNo, bundle}</t>
  </si>
  <si>
    <t xml:space="preserve">Adds or replaces a line. v2 calls learn_.</t>
  </si>
  <si>
    <t xml:space="preserve">deleteLine</t>
  </si>
  <si>
    <t xml:space="preserve">id, lineNo</t>
  </si>
  <si>
    <t xml:space="preserve">bundle</t>
  </si>
  <si>
    <t xml:space="preserve">Deletes a line and its QPA file records.</t>
  </si>
  <si>
    <t xml:space="preserve">uploadFile</t>
  </si>
  <si>
    <t xml:space="preserve">id, category, lineNo, name, mimeType, data (base64)</t>
  </si>
  <si>
    <t xml:space="preserve">{name, url, id, files}</t>
  </si>
  <si>
    <t xml:space="preserve">Stores a file in the dispute folder.</t>
  </si>
  <si>
    <t xml:space="preserve">removeFile</t>
  </si>
  <si>
    <t xml:space="preserve">id, fileId</t>
  </si>
  <si>
    <t xml:space="preserve">files</t>
  </si>
  <si>
    <t xml:space="preserve">Removes a file record and trashes the file.</t>
  </si>
  <si>
    <t xml:space="preserve">{ok, problems?, warnings?, pdfUrl?, bundle?}</t>
  </si>
  <si>
    <t xml:space="preserve">Validates and creates the confirmation PDF; status Ready. v2 adds warnings and new blocking rules.</t>
  </si>
  <si>
    <t xml:space="preserve">id, portalNumber, portalPdf {name, mimeType, data}</t>
  </si>
  <si>
    <t xml:space="preserve">US desk only. v2 requires ^DISP-\d{7}$ and the PDF.</t>
  </si>
  <si>
    <t xml:space="preserve">id, reason</t>
  </si>
  <si>
    <t xml:space="preserve">true</t>
  </si>
  <si>
    <t xml:space="preserve">US desk only. v2 calls learn_(ReturnReason).</t>
  </si>
  <si>
    <t xml:space="preserve">{lists: {List: [{value, count, share}]}, defaults, addedThisWeek}</t>
  </si>
  <si>
    <t xml:space="preserve">Insights view data.</t>
  </si>
  <si>
    <t xml:space="preserve">adminListOptions</t>
  </si>
  <si>
    <t xml:space="preserve">list</t>
  </si>
  <si>
    <t xml:space="preserve">[{value, label, data, count, lastUsed, source, status}]</t>
  </si>
  <si>
    <t xml:space="preserve">Admin only. All values of one list, hidden included.</t>
  </si>
  <si>
    <t xml:space="preserve">adminUpdateOption</t>
  </si>
  <si>
    <t xml:space="preserve">list, value, change {label?, status?, mergeInto?}</t>
  </si>
  <si>
    <t xml:space="preserve">updated list</t>
  </si>
  <si>
    <t xml:space="preserve">Admin only. Rename, hide, reactivate or merge. Clears the options cache.</t>
  </si>
  <si>
    <t xml:space="preserve">onEdit</t>
  </si>
  <si>
    <t xml:space="preserve">Public (trigger)</t>
  </si>
  <si>
    <t xml:space="preserve">e</t>
  </si>
  <si>
    <t xml:space="preserve">Clears the options cache when the Options tab is edited. v2: also the Settings tab.</t>
  </si>
  <si>
    <t xml:space="preserve">setup</t>
  </si>
  <si>
    <t xml:space="preserve">Public (editor)</t>
  </si>
  <si>
    <t xml:space="preserve">Creates tabs, seeds lists and the Drive folder. v2 adds Settings, new Options columns, seed rows; idempotent.</t>
  </si>
  <si>
    <t xml:space="preserve">learn_</t>
  </si>
  <si>
    <t xml:space="preserve">Private</t>
  </si>
  <si>
    <t xml:space="preserve">list, value, data</t>
  </si>
  <si>
    <t xml:space="preserve">Upserts an Options row: Count, LastUsed, Data; new rows Active or Hidden by LearningMode.</t>
  </si>
  <si>
    <t xml:space="preserve">suggestDefaults_</t>
  </si>
  <si>
    <t xml:space="preserve">{fieldKey: value}</t>
  </si>
  <si>
    <t xml:space="preserve">Learned defaults from the last DefaultWindow records (cached 10 min).</t>
  </si>
  <si>
    <t xml:space="preserve">businessDeadline_</t>
  </si>
  <si>
    <t xml:space="preserve">onStart (YYYY-MM-DD)</t>
  </si>
  <si>
    <t xml:space="preserve">{onEnds, initiateBy, daysLeft}</t>
  </si>
  <si>
    <t xml:space="preserve">30 business days, then 4, skipping weekends and the Holiday list.</t>
  </si>
  <si>
    <t xml:space="preserve">getSettings_</t>
  </si>
  <si>
    <t xml:space="preserve">{LearningMode, DefaultWindow, DefaultShare}</t>
  </si>
  <si>
    <t xml:space="preserve">Reads the Settings tab with defaults.</t>
  </si>
  <si>
    <t xml:space="preserve">validate_</t>
  </si>
  <si>
    <t xml:space="preserve">problems[] (v2: {problems, warnings})</t>
  </si>
  <si>
    <t xml:space="preserve">Server-side checks. See Validation rules.</t>
  </si>
  <si>
    <t xml:space="preserve">checkField_</t>
  </si>
  <si>
    <t xml:space="preserve">f, value, record</t>
  </si>
  <si>
    <t xml:space="preserve">message or ""</t>
  </si>
  <si>
    <t xml:space="preserve">Per-field format checks; v2 adds tin, npi, phone formats.</t>
  </si>
  <si>
    <t xml:space="preserve">buildConfirmationPdf_</t>
  </si>
  <si>
    <t xml:space="preserve">Renders Pdf.html to PDF. v2 adds "Signature: &lt;provider name&gt;".</t>
  </si>
  <si>
    <t xml:space="preserve">options_ / clearOptionsCache_</t>
  </si>
  <si>
    <t xml:space="preserve">lists</t>
  </si>
  <si>
    <t xml:space="preserve">Reads Options with a 10-minute cache. v2 returns objects and skips Hidden values.</t>
  </si>
  <si>
    <t xml:space="preserve">isUsDesk_ / requireUsDesk_</t>
  </si>
  <si>
    <t xml:space="preserve">boolean / throws</t>
  </si>
  <si>
    <t xml:space="preserve">US desk check against UsDeskUser.</t>
  </si>
  <si>
    <t xml:space="preserve">readTables_ / table_ / rows_</t>
  </si>
  <si>
    <t xml:space="preserve">names</t>
  </si>
  <si>
    <t xml:space="preserve">tables</t>
  </si>
  <si>
    <t xml:space="preserve">One batchGet for several tabs.</t>
  </si>
  <si>
    <t xml:space="preserve">writeBlock_ / appendRecords_ / deleteWhere_ / setCells_</t>
  </si>
  <si>
    <t xml:space="preserve">varies</t>
  </si>
  <si>
    <t xml:space="preserve">RAW writes through the Sheets API, SpreadsheetApp fallback.</t>
  </si>
  <si>
    <t xml:space="preserve">normCell_</t>
  </si>
  <si>
    <t xml:space="preserve">key, v</t>
  </si>
  <si>
    <t xml:space="preserve">Turns cell values back into app text (dates, money, zip).</t>
  </si>
  <si>
    <t xml:space="preserve">withLock_</t>
  </si>
  <si>
    <t xml:space="preserve">fn</t>
  </si>
  <si>
    <t xml:space="preserve">fn result</t>
  </si>
  <si>
    <t xml:space="preserve">Script lock and fresh reads.</t>
  </si>
  <si>
    <t xml:space="preserve">disputeFolder_ / rootFolder_</t>
  </si>
  <si>
    <t xml:space="preserve">Folder</t>
  </si>
  <si>
    <t xml:space="preserve">Drive folders, cached ids.</t>
  </si>
  <si>
    <t xml:space="preserve">fmt_</t>
  </si>
  <si>
    <t xml:space="preserve">value, type</t>
  </si>
  <si>
    <t xml:space="preserve">Portal display format for Pdf.html.</t>
  </si>
  <si>
    <t xml:space="preserve">seedDemoData / clearDemoData</t>
  </si>
  <si>
    <t xml:space="preserve">Public (DemoData.gs)</t>
  </si>
  <si>
    <t xml:space="preserve">Synthetic demo disputes. v2 uses the seeded payers and entities.</t>
  </si>
  <si>
    <t xml:space="preserve">demoUseLebanonView / demoUseUsView</t>
  </si>
  <si>
    <t xml:space="preserve">Switches the demo user on or off the US desk.</t>
  </si>
  <si>
    <t xml:space="preserve">User story</t>
  </si>
  <si>
    <t xml:space="preserve">Effort (S/M/L)</t>
  </si>
  <si>
    <t xml:space="preserve">B01</t>
  </si>
  <si>
    <t xml:space="preserve">FR-1</t>
  </si>
  <si>
    <t xml:space="preserve">As a preparer, I pick the payer from a list so the address, email, phone and fax fill in.</t>
  </si>
  <si>
    <t xml:space="preserve">M</t>
  </si>
  <si>
    <t xml:space="preserve">Payer combo fills 8 plan fields from Payer Data. Only empty fields filled. New payers are learned.</t>
  </si>
  <si>
    <t xml:space="preserve">B02</t>
  </si>
  <si>
    <t xml:space="preserve">FR-2</t>
  </si>
  <si>
    <t xml:space="preserve">As a preparer, I pick our billing entity so provider details, TIN and NPI fill in.</t>
  </si>
  <si>
    <t xml:space="preserve">S</t>
  </si>
  <si>
    <t xml:space="preserve">BillingEntity combo fills q_acting_as, tin, npi, prov_designation, prov_group_name, provider contact.</t>
  </si>
  <si>
    <t xml:space="preserve">B03</t>
  </si>
  <si>
    <t xml:space="preserve">FR-3</t>
  </si>
  <si>
    <t xml:space="preserve">As a preparer, I see smart defaults I can change.</t>
  </si>
  <si>
    <t xml:space="preserve">No, No, A batched dispute, Emergency, POS 23, TX, third party No pre-selected with a "default" chip.</t>
  </si>
  <si>
    <t xml:space="preserve">B04</t>
  </si>
  <si>
    <t xml:space="preserve">FR-4</t>
  </si>
  <si>
    <t xml:space="preserve">As a preparer, I see the deadline and days left under the open negotiation start date.</t>
  </si>
  <si>
    <t xml:space="preserve">businessDeadline_ gives 10/15 and 10/21 for a 09/01/2026 start. Red at 1 day or less; Ready blocked when passed. US desk queue sorts by deadline.</t>
  </si>
  <si>
    <t xml:space="preserve">B05</t>
  </si>
  <si>
    <t xml:space="preserve">FR-5</t>
  </si>
  <si>
    <t xml:space="preserve">As a preparer, I am stopped when a dispute is not eligible.</t>
  </si>
  <si>
    <t xml:space="preserve">Yes on prior-2022 or consent shows "Not eligible for federal IDR" and blocks Ready.</t>
  </si>
  <si>
    <t xml:space="preserve">B06</t>
  </si>
  <si>
    <t xml:space="preserve">FR-6</t>
  </si>
  <si>
    <t xml:space="preserve">As a preparer, I pick a real Health Plan Type.</t>
  </si>
  <si>
    <t xml:space="preserve">Placeholders removed; observed value seeded; new values learned. Needs the full portal list.</t>
  </si>
  <si>
    <t xml:space="preserve">B07</t>
  </si>
  <si>
    <t xml:space="preserve">FR-7</t>
  </si>
  <si>
    <t xml:space="preserve">As a preparer, I am warned when a claim number is already in another dispute.</t>
  </si>
  <si>
    <t xml:space="preserve">Warning names the other dispute when it is not Returned.</t>
  </si>
  <si>
    <t xml:space="preserve">B08</t>
  </si>
  <si>
    <t xml:space="preserve">FR-8</t>
  </si>
  <si>
    <t xml:space="preserve">As a preparer, I am warned when lines cannot be batched together.</t>
  </si>
  <si>
    <t xml:space="preserve">Warning when service dates fall outside a 30-business-day window (V37). Rules need business sign-off.</t>
  </si>
  <si>
    <t xml:space="preserve">B09</t>
  </si>
  <si>
    <t xml:space="preserve">FR-9</t>
  </si>
  <si>
    <t xml:space="preserve">As a preparer, I duplicate a line and change only what differs.</t>
  </si>
  <si>
    <t xml:space="preserve">"Duplicate line" copies all fields. "Add line" copies claim number, date, QPA doc, item type, POS and location.</t>
  </si>
  <si>
    <t xml:space="preserve">B10</t>
  </si>
  <si>
    <t xml:space="preserve">FR-10</t>
  </si>
  <si>
    <t xml:space="preserve">As a preparer, I pick service codes, modifiers and POS codes from lists.</t>
  </si>
  <si>
    <t xml:space="preserve">Combos seeded from Lists; picking a code fills description; free text kept.</t>
  </si>
  <si>
    <t xml:space="preserve">B11</t>
  </si>
  <si>
    <t xml:space="preserve">FR-11</t>
  </si>
  <si>
    <t xml:space="preserve">As the US desk, I pick a return reason from a list.</t>
  </si>
  <si>
    <t xml:space="preserve">ReturnReason combo; returns can be counted by reason.</t>
  </si>
  <si>
    <t xml:space="preserve">B12</t>
  </si>
  <si>
    <t xml:space="preserve">FR-12</t>
  </si>
  <si>
    <t xml:space="preserve">As the US desk, I must enter the portal number and attach the confirmation PDF to file.</t>
  </si>
  <si>
    <t xml:space="preserve">markFiled rejects a number not matching ^DISP-\d{7}$ or a missing PDF.</t>
  </si>
  <si>
    <t xml:space="preserve">B13</t>
  </si>
  <si>
    <t xml:space="preserve">FR-13</t>
  </si>
  <si>
    <t xml:space="preserve">As a manager, I see Team and Owner picked from lists.</t>
  </si>
  <si>
    <t xml:space="preserve">Team and Owner combos; Owner defaults to the signed-in user; values learned.</t>
  </si>
  <si>
    <t xml:space="preserve">B14</t>
  </si>
  <si>
    <t xml:space="preserve">FR-14</t>
  </si>
  <si>
    <t xml:space="preserve">As a preparer, phone and ZIP format themselves as I type.</t>
  </si>
  <si>
    <t xml:space="preserve">Phones shown as (817) 566-1232 (portal format, replaces 000-000-0000 in the review). ZIP 5 or 9 digits.</t>
  </si>
  <si>
    <t xml:space="preserve">B15</t>
  </si>
  <si>
    <t xml:space="preserve">FR-15</t>
  </si>
  <si>
    <t xml:space="preserve">As a preparer, I am warned about amounts that do not add up.</t>
  </si>
  <si>
    <t xml:space="preserve">Warnings V16, V17, V18. Initial payment suggested as QPA − cost sharing.</t>
  </si>
  <si>
    <t xml:space="preserve">B16</t>
  </si>
  <si>
    <t xml:space="preserve">FR-16</t>
  </si>
  <si>
    <t xml:space="preserve">As the US desk, I use saved views.</t>
  </si>
  <si>
    <t xml:space="preserve">Filters by team, deadline and status; oldest first.</t>
  </si>
  <si>
    <t xml:space="preserve">B17</t>
  </si>
  <si>
    <t xml:space="preserve">FR-17</t>
  </si>
  <si>
    <t xml:space="preserve">As a manager, I see weekly metrics from the Log tab.</t>
  </si>
  <si>
    <t xml:space="preserve">Ready-to-Filed time, returns by reason, disputes per person. Feeds the Model C Gate C1 check.</t>
  </si>
  <si>
    <t xml:space="preserve">B18</t>
  </si>
  <si>
    <t xml:space="preserve">Spec v2 §3</t>
  </si>
  <si>
    <t xml:space="preserve">As an admin, every list lives in the Options tab with counts and status.</t>
  </si>
  <si>
    <t xml:space="preserve">L01, L14, L15.</t>
  </si>
  <si>
    <t xml:space="preserve">B19</t>
  </si>
  <si>
    <t xml:space="preserve">As a preparer, combo fields suggest values ranked by use and accept new ones.</t>
  </si>
  <si>
    <t xml:space="preserve">L02, L10.</t>
  </si>
  <si>
    <t xml:space="preserve">B20</t>
  </si>
  <si>
    <t xml:space="preserve">As a team, new values are learned on save and shared at once.</t>
  </si>
  <si>
    <t xml:space="preserve">L03, L04, L05.</t>
  </si>
  <si>
    <t xml:space="preserve">B21</t>
  </si>
  <si>
    <t xml:space="preserve">As a preparer, I get "Did you mean …?" for near-duplicate values.</t>
  </si>
  <si>
    <t xml:space="preserve">L11; "SILVER ALLIANCE,LLC" maps to SILVER ALLIANCE LLC.</t>
  </si>
  <si>
    <t xml:space="preserve">B22</t>
  </si>
  <si>
    <t xml:space="preserve">As a preparer, defaults follow what the team actually uses.</t>
  </si>
  <si>
    <t xml:space="preserve">L07, L08.</t>
  </si>
  <si>
    <t xml:space="preserve">B23</t>
  </si>
  <si>
    <t xml:space="preserve">As an admin, I rename, merge, hide and reactivate list values.</t>
  </si>
  <si>
    <t xml:space="preserve">L09; adminListOptions, adminUpdateOption.</t>
  </si>
  <si>
    <t xml:space="preserve">B24</t>
  </si>
  <si>
    <t xml:space="preserve">As an admin, I control whether new values need approval.</t>
  </si>
  <si>
    <t xml:space="preserve">L12; LearningMode On by default.</t>
  </si>
  <si>
    <t xml:space="preserve">B25</t>
  </si>
  <si>
    <t xml:space="preserve">As a manager, I see an Insights view during training.</t>
  </si>
  <si>
    <t xml:space="preserve">L13; getInsights.</t>
  </si>
  <si>
    <t xml:space="preserve">B26</t>
  </si>
  <si>
    <t xml:space="preserve">Spec v2 §4</t>
  </si>
  <si>
    <t xml:space="preserve">As a preparer, I enter the new portal fields.</t>
  </si>
  <si>
    <t xml:space="preserve">tin, npi, dispute_kind, prov_name, prov_group_name, idr_entity, third_party_attest in schema, copy desk and PDF.</t>
  </si>
  <si>
    <t xml:space="preserve">B27</t>
  </si>
  <si>
    <t xml:space="preserve">As a preparer, one QPA file covers every line of the same claim.</t>
  </si>
  <si>
    <t xml:space="preserve">"Use for all lines on this claim" links the file to the claim number (V23).</t>
  </si>
  <si>
    <t xml:space="preserve">B28</t>
  </si>
  <si>
    <t xml:space="preserve">As a preparer, point-of-contact sections stay closed unless I need them.</t>
  </si>
  <si>
    <t xml:space="preserve">POC sections collapsed with an "Add point of contact" toggle.</t>
  </si>
  <si>
    <t xml:space="preserve">B29</t>
  </si>
  <si>
    <t xml:space="preserve">As the US desk, the summary shows "Signature: &lt;provider name&gt;".</t>
  </si>
  <si>
    <t xml:space="preserve">Summary and PDF show the signature name from prov_name.</t>
  </si>
  <si>
    <t xml:space="preserve">B30</t>
  </si>
  <si>
    <t xml:space="preserve">As the US desk, the copy desk has the new fields in portal order.</t>
  </si>
  <si>
    <t xml:space="preserve">Copy order matches the Fields sheet.</t>
  </si>
  <si>
    <t xml:space="preserve">B31</t>
  </si>
  <si>
    <t xml:space="preserve">Spec v2 §1</t>
  </si>
  <si>
    <t xml:space="preserve">As a reviewer, every line must have claim number, date, QPA, POS and location.</t>
  </si>
  <si>
    <t xml:space="preserve">V19 blocks Ready; the DISP-7998956 pattern cannot be repeated.</t>
  </si>
  <si>
    <t xml:space="preserve">B32</t>
  </si>
  <si>
    <t xml:space="preserve">Spec v2 §5</t>
  </si>
  <si>
    <t xml:space="preserve">As a demo user, demo data uses the seeded payers and entities.</t>
  </si>
  <si>
    <t xml:space="preserve">DemoData stays synthetic, no real claim numbers; Insights show trends.</t>
  </si>
  <si>
    <t xml:space="preserve">Topic</t>
  </si>
  <si>
    <t xml:space="preserve">Question</t>
  </si>
  <si>
    <t xml:space="preserve">Q01</t>
  </si>
  <si>
    <t xml:space="preserve">US desk users</t>
  </si>
  <si>
    <t xml:space="preserve">Who are the US desk users? We need their emails for the UsDeskUser list.</t>
  </si>
  <si>
    <t xml:space="preserve">Business</t>
  </si>
  <si>
    <t xml:space="preserve">Open</t>
  </si>
  <si>
    <t xml:space="preserve">Q02</t>
  </si>
  <si>
    <t xml:space="preserve">Admins</t>
  </si>
  <si>
    <t xml:space="preserve">Who can manage lists in the Lists view? We need emails for the Admin list.</t>
  </si>
  <si>
    <t xml:space="preserve">Q03</t>
  </si>
  <si>
    <t xml:space="preserve">Health Plan Type</t>
  </si>
  <si>
    <t xml:space="preserve">What other Health Plan Type options does the portal show? Only one was seen on the 4 notices.</t>
  </si>
  <si>
    <t xml:space="preserve">Business / US desk</t>
  </si>
  <si>
    <t xml:space="preserve">Q04</t>
  </si>
  <si>
    <t xml:space="preserve">Bundled disputes</t>
  </si>
  <si>
    <t xml:space="preserve">When do we use "A bundled dispute"? What rules apply to its lines?</t>
  </si>
  <si>
    <t xml:space="preserve">Q05</t>
  </si>
  <si>
    <t xml:space="preserve">Batching rules</t>
  </si>
  <si>
    <t xml:space="preserve">Which batching rules should the Studio check (same payer, same service code, 30-business-day window)?</t>
  </si>
  <si>
    <t xml:space="preserve">Q06</t>
  </si>
  <si>
    <t xml:space="preserve">Teams and Owners</t>
  </si>
  <si>
    <t xml:space="preserve">Should Team and Owner have seed values, or only be learned?</t>
  </si>
  <si>
    <t xml:space="preserve">Q07</t>
  </si>
  <si>
    <t xml:space="preserve">Modifiers</t>
  </si>
  <si>
    <t xml:space="preserve">Confirm that Service Code Modifier(s) is optional. It is required in the app today but empty on every notice.</t>
  </si>
  <si>
    <t xml:space="preserve">US desk</t>
  </si>
  <si>
    <t xml:space="preserve">Q08</t>
  </si>
  <si>
    <t xml:space="preserve">Editing Ready disputes</t>
  </si>
  <si>
    <t xml:space="preserve">Should an edit to a Ready dispute move it back to Draft? Today it stays Ready.</t>
  </si>
  <si>
    <t xml:space="preserve">Q09</t>
  </si>
  <si>
    <t xml:space="preserve">DISP-7998956 lines 2–11 have no claim number, date, QPA, POS or location. Was the dispute filed that way? Does it need a fix on the portal?</t>
  </si>
  <si>
    <t xml:space="preserve">Q10</t>
  </si>
  <si>
    <t xml:space="preserve">Deadline time zone</t>
  </si>
  <si>
    <t xml:space="preserve">Which time zone sets the deadline day (Central for the facility)?</t>
  </si>
  <si>
    <t xml:space="preserve">Q11</t>
  </si>
  <si>
    <t xml:space="preserve">Holidays</t>
  </si>
  <si>
    <t xml:space="preserve">Confirm the federal holiday list for 2026 and 2027. Who adds 2028?</t>
  </si>
  <si>
    <t xml:space="preserve">IT</t>
  </si>
  <si>
    <t xml:space="preserve">Q12</t>
  </si>
  <si>
    <t xml:space="preserve">Learning mode</t>
  </si>
  <si>
    <t xml:space="preserve">When does training end and LearningMode switch to Off?</t>
  </si>
  <si>
    <t xml:space="preserve">Q13</t>
  </si>
  <si>
    <t xml:space="preserve">Default share</t>
  </si>
  <si>
    <t xml:space="preserve">Is 0.8 the right share for a learned default, over the last 50 records?</t>
  </si>
  <si>
    <t xml:space="preserve">Q14</t>
  </si>
  <si>
    <t xml:space="preserve">Plan role</t>
  </si>
  <si>
    <t xml:space="preserve">"I'm a(n)" for the plan is not printed on the notice. Which plan role should be the default?</t>
  </si>
  <si>
    <t xml:space="preserve">Q15</t>
  </si>
  <si>
    <t xml:space="preserve">Billing entities</t>
  </si>
  <si>
    <t xml:space="preserve">Are there more billing entities than SILVER ALLIANCE LLC and CAPITAL HEALTH PLLC?</t>
  </si>
  <si>
    <t xml:space="preserve">Q16</t>
  </si>
  <si>
    <t xml:space="preserve">Payer fax</t>
  </si>
  <si>
    <t xml:space="preserve">No payer fax was seen. Should we collect fax numbers?</t>
  </si>
  <si>
    <t xml:space="preserve">Q17</t>
  </si>
  <si>
    <t xml:space="preserve">Options Note column</t>
  </si>
  <si>
    <t xml:space="preserve">Keep the old Options Note column, or move its text into Label?</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</si>
</sst>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color rgb="FF003B5C"/>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003B5C"/>
        <bgColor rgb="FF003300"/>
      </patternFill>
    </fill>
    <fill>
      <patternFill patternType="solid">
        <fgColor rgb="FFFCE4D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3B5C"/>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23.85" hidden="false" customHeight="false" outlineLevel="0" collapsed="false">
      <c r="A8" s="2" t="s">
        <v>11</v>
      </c>
      <c r="B8" s="3" t="s">
        <v>12</v>
      </c>
    </row>
    <row r="9" customFormat="false" ht="23.85" hidden="false" customHeight="false" outlineLevel="0" collapsed="false">
      <c r="A9" s="2" t="s">
        <v>13</v>
      </c>
      <c r="B9" s="3" t="s">
        <v>14</v>
      </c>
    </row>
    <row r="10" customFormat="false" ht="35.05" hidden="false" customHeight="false" outlineLevel="0" collapsed="false">
      <c r="A10" s="2" t="s">
        <v>15</v>
      </c>
      <c r="B10" s="3" t="s">
        <v>16</v>
      </c>
    </row>
    <row r="11" customFormat="false" ht="15" hidden="false" customHeight="false" outlineLevel="0" collapsed="false">
      <c r="A11" s="2" t="s">
        <v>17</v>
      </c>
      <c r="B11" s="3" t="s">
        <v>18</v>
      </c>
    </row>
    <row r="12" customFormat="false" ht="15" hidden="false" customHeight="false" outlineLevel="0" collapsed="false">
      <c r="A12" s="2"/>
      <c r="B12" s="3" t="s">
        <v>19</v>
      </c>
    </row>
    <row r="13" customFormat="false" ht="15" hidden="false" customHeight="false" outlineLevel="0" collapsed="false">
      <c r="A13" s="2"/>
      <c r="B13" s="3" t="s">
        <v>20</v>
      </c>
    </row>
    <row r="14" customFormat="false" ht="15" hidden="false" customHeight="false" outlineLevel="0" collapsed="false">
      <c r="A14" s="2"/>
      <c r="B14" s="3" t="s">
        <v>21</v>
      </c>
    </row>
    <row r="15" customFormat="false" ht="15" hidden="false" customHeight="false" outlineLevel="0" collapsed="false">
      <c r="A15" s="2"/>
      <c r="B15" s="3" t="s">
        <v>22</v>
      </c>
    </row>
    <row r="16" customFormat="false" ht="15" hidden="false" customHeight="false" outlineLevel="0" collapsed="false">
      <c r="A16" s="2"/>
      <c r="B16" s="3" t="s">
        <v>23</v>
      </c>
    </row>
    <row r="17" customFormat="false" ht="15" hidden="false" customHeight="false" outlineLevel="0" collapsed="false">
      <c r="A17" s="2" t="s">
        <v>24</v>
      </c>
      <c r="B17" s="3" t="s">
        <v>25</v>
      </c>
    </row>
    <row r="18" customFormat="false" ht="15" hidden="false" customHeight="false" outlineLevel="0" collapsed="false">
      <c r="A18" s="2" t="s">
        <v>26</v>
      </c>
      <c r="B18" s="3" t="s">
        <v>27</v>
      </c>
    </row>
    <row r="19" customFormat="false" ht="15" hidden="false" customHeight="false" outlineLevel="0" collapsed="false">
      <c r="A19" s="2"/>
      <c r="B19" s="3" t="s">
        <v>28</v>
      </c>
    </row>
    <row r="20" customFormat="false" ht="15" hidden="false" customHeight="false" outlineLevel="0" collapsed="false">
      <c r="A20" s="2"/>
      <c r="B20" s="3" t="s">
        <v>29</v>
      </c>
    </row>
    <row r="21" customFormat="false" ht="15" hidden="false" customHeight="false" outlineLevel="0" collapsed="false">
      <c r="A21" s="2"/>
      <c r="B21" s="3" t="s">
        <v>30</v>
      </c>
    </row>
    <row r="22" customFormat="false" ht="15" hidden="false" customHeight="false" outlineLevel="0" collapsed="false">
      <c r="A22" s="2"/>
      <c r="B22" s="3" t="s">
        <v>31</v>
      </c>
    </row>
    <row r="23" customFormat="false" ht="15" hidden="false" customHeight="false" outlineLevel="0" collapsed="false">
      <c r="A23" s="2" t="s">
        <v>32</v>
      </c>
      <c r="B23" s="3" t="s">
        <v>33</v>
      </c>
    </row>
    <row r="24" customFormat="false" ht="15" hidden="false" customHeight="false" outlineLevel="0" collapsed="false">
      <c r="A24" s="2" t="s">
        <v>34</v>
      </c>
      <c r="B24" s="3" t="s">
        <v>35</v>
      </c>
    </row>
    <row r="25" customFormat="false" ht="23.85" hidden="false" customHeight="false" outlineLevel="0" collapsed="false">
      <c r="A25" s="2" t="s">
        <v>36</v>
      </c>
      <c r="B25" s="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45"/>
    <col collapsed="false" customWidth="true" hidden="false" outlineLevel="0" max="4" min="4" style="0" width="20"/>
    <col collapsed="false" customWidth="true" hidden="false" outlineLevel="0" max="6" min="5" style="0" width="11"/>
    <col collapsed="false" customWidth="true" hidden="false" outlineLevel="0" max="7" min="7" style="0" width="38"/>
    <col collapsed="false" customWidth="true" hidden="false" outlineLevel="0" max="8" min="8" style="0" width="26"/>
    <col collapsed="false" customWidth="true" hidden="false" outlineLevel="0" max="9" min="9" style="0" width="11"/>
    <col collapsed="false" customWidth="true" hidden="false" outlineLevel="0" max="10" min="10" style="0" width="18"/>
    <col collapsed="false" customWidth="true" hidden="false" outlineLevel="0" max="11" min="11" style="0" width="22"/>
    <col collapsed="false" customWidth="true" hidden="false" outlineLevel="0" max="12" min="12" style="0" width="10"/>
    <col collapsed="false" customWidth="true" hidden="false" outlineLevel="0" max="13" min="13" style="0" width="55"/>
  </cols>
  <sheetData>
    <row r="1" customFormat="false" ht="30" hidden="false" customHeight="true" outlineLevel="0" collapsed="false">
      <c r="A1" s="4" t="s">
        <v>38</v>
      </c>
      <c r="B1" s="4" t="s">
        <v>39</v>
      </c>
      <c r="C1" s="4" t="s">
        <v>40</v>
      </c>
      <c r="D1" s="4" t="s">
        <v>41</v>
      </c>
      <c r="E1" s="4" t="s">
        <v>42</v>
      </c>
      <c r="F1" s="4" t="s">
        <v>43</v>
      </c>
      <c r="G1" s="4" t="s">
        <v>44</v>
      </c>
      <c r="H1" s="4" t="s">
        <v>45</v>
      </c>
      <c r="I1" s="4" t="s">
        <v>46</v>
      </c>
      <c r="J1" s="4" t="s">
        <v>47</v>
      </c>
      <c r="K1" s="4" t="s">
        <v>48</v>
      </c>
      <c r="L1" s="4" t="s">
        <v>49</v>
      </c>
      <c r="M1" s="4" t="s">
        <v>50</v>
      </c>
    </row>
    <row r="2" customFormat="false" ht="15" hidden="false" customHeight="false" outlineLevel="0" collapsed="false">
      <c r="A2" s="5" t="s">
        <v>51</v>
      </c>
      <c r="B2" s="5" t="s">
        <v>52</v>
      </c>
      <c r="C2" s="5" t="s">
        <v>53</v>
      </c>
      <c r="D2" s="5" t="s">
        <v>54</v>
      </c>
      <c r="E2" s="5" t="s">
        <v>55</v>
      </c>
      <c r="F2" s="5" t="s">
        <v>56</v>
      </c>
      <c r="G2" s="5" t="s">
        <v>57</v>
      </c>
      <c r="H2" s="5" t="s">
        <v>58</v>
      </c>
      <c r="I2" s="5" t="s">
        <v>59</v>
      </c>
      <c r="J2" s="5" t="s">
        <v>60</v>
      </c>
      <c r="K2" s="5"/>
      <c r="L2" s="5" t="n">
        <v>1</v>
      </c>
      <c r="M2" s="5" t="s">
        <v>61</v>
      </c>
    </row>
    <row r="3" customFormat="false" ht="23.85" hidden="false" customHeight="false" outlineLevel="0" collapsed="false">
      <c r="A3" s="5" t="s">
        <v>51</v>
      </c>
      <c r="B3" s="5" t="s">
        <v>52</v>
      </c>
      <c r="C3" s="5" t="s">
        <v>62</v>
      </c>
      <c r="D3" s="5" t="s">
        <v>63</v>
      </c>
      <c r="E3" s="5" t="s">
        <v>55</v>
      </c>
      <c r="F3" s="5" t="s">
        <v>56</v>
      </c>
      <c r="G3" s="5" t="s">
        <v>64</v>
      </c>
      <c r="H3" s="5" t="s">
        <v>65</v>
      </c>
      <c r="I3" s="5" t="s">
        <v>59</v>
      </c>
      <c r="J3" s="5" t="s">
        <v>66</v>
      </c>
      <c r="K3" s="5" t="s">
        <v>67</v>
      </c>
      <c r="L3" s="5" t="n">
        <v>2</v>
      </c>
      <c r="M3" s="5" t="s">
        <v>68</v>
      </c>
    </row>
    <row r="4" customFormat="false" ht="15" hidden="false" customHeight="false" outlineLevel="0" collapsed="false">
      <c r="A4" s="5" t="s">
        <v>51</v>
      </c>
      <c r="B4" s="5" t="s">
        <v>52</v>
      </c>
      <c r="C4" s="5" t="s">
        <v>69</v>
      </c>
      <c r="D4" s="5" t="s">
        <v>70</v>
      </c>
      <c r="E4" s="5" t="s">
        <v>71</v>
      </c>
      <c r="F4" s="5" t="s">
        <v>56</v>
      </c>
      <c r="G4" s="5" t="s">
        <v>72</v>
      </c>
      <c r="H4" s="5" t="s">
        <v>73</v>
      </c>
      <c r="I4" s="5" t="s">
        <v>74</v>
      </c>
      <c r="J4" s="5"/>
      <c r="K4" s="5" t="s">
        <v>75</v>
      </c>
      <c r="L4" s="5" t="n">
        <v>3</v>
      </c>
      <c r="M4" s="5" t="s">
        <v>76</v>
      </c>
    </row>
    <row r="5" customFormat="false" ht="15" hidden="false" customHeight="false" outlineLevel="0" collapsed="false">
      <c r="A5" s="5" t="s">
        <v>51</v>
      </c>
      <c r="B5" s="5" t="s">
        <v>52</v>
      </c>
      <c r="C5" s="5" t="s">
        <v>77</v>
      </c>
      <c r="D5" s="5" t="s">
        <v>78</v>
      </c>
      <c r="E5" s="5" t="s">
        <v>71</v>
      </c>
      <c r="F5" s="5" t="s">
        <v>56</v>
      </c>
      <c r="G5" s="5" t="s">
        <v>79</v>
      </c>
      <c r="H5" s="5" t="s">
        <v>73</v>
      </c>
      <c r="I5" s="5" t="s">
        <v>74</v>
      </c>
      <c r="J5" s="5"/>
      <c r="K5" s="5" t="s">
        <v>80</v>
      </c>
      <c r="L5" s="5" t="n">
        <v>4</v>
      </c>
      <c r="M5" s="5" t="s">
        <v>81</v>
      </c>
    </row>
    <row r="6" customFormat="false" ht="35.05" hidden="false" customHeight="false" outlineLevel="0" collapsed="false">
      <c r="A6" s="5" t="s">
        <v>51</v>
      </c>
      <c r="B6" s="5" t="s">
        <v>52</v>
      </c>
      <c r="C6" s="5" t="s">
        <v>82</v>
      </c>
      <c r="D6" s="5" t="s">
        <v>83</v>
      </c>
      <c r="E6" s="5" t="s">
        <v>84</v>
      </c>
      <c r="F6" s="5" t="s">
        <v>56</v>
      </c>
      <c r="G6" s="5" t="s">
        <v>85</v>
      </c>
      <c r="H6" s="5" t="s">
        <v>86</v>
      </c>
      <c r="I6" s="5" t="s">
        <v>59</v>
      </c>
      <c r="J6" s="5" t="s">
        <v>87</v>
      </c>
      <c r="K6" s="5"/>
      <c r="L6" s="5" t="n">
        <v>5</v>
      </c>
      <c r="M6" s="5" t="s">
        <v>88</v>
      </c>
    </row>
    <row r="7" customFormat="false" ht="35.05" hidden="false" customHeight="false" outlineLevel="0" collapsed="false">
      <c r="A7" s="5" t="s">
        <v>51</v>
      </c>
      <c r="B7" s="5" t="s">
        <v>52</v>
      </c>
      <c r="C7" s="5" t="s">
        <v>89</v>
      </c>
      <c r="D7" s="5" t="s">
        <v>90</v>
      </c>
      <c r="E7" s="5" t="s">
        <v>55</v>
      </c>
      <c r="F7" s="5" t="s">
        <v>56</v>
      </c>
      <c r="G7" s="5" t="s">
        <v>91</v>
      </c>
      <c r="H7" s="5" t="s">
        <v>92</v>
      </c>
      <c r="I7" s="5" t="s">
        <v>59</v>
      </c>
      <c r="J7" s="5" t="s">
        <v>93</v>
      </c>
      <c r="K7" s="5"/>
      <c r="L7" s="5" t="n">
        <v>9</v>
      </c>
      <c r="M7" s="5" t="s">
        <v>94</v>
      </c>
    </row>
    <row r="8" customFormat="false" ht="35.05" hidden="false" customHeight="false" outlineLevel="0" collapsed="false">
      <c r="A8" s="5" t="s">
        <v>95</v>
      </c>
      <c r="B8" s="5" t="s">
        <v>52</v>
      </c>
      <c r="C8" s="5" t="s">
        <v>96</v>
      </c>
      <c r="D8" s="5" t="s">
        <v>97</v>
      </c>
      <c r="E8" s="5" t="s">
        <v>98</v>
      </c>
      <c r="F8" s="5" t="s">
        <v>56</v>
      </c>
      <c r="G8" s="5" t="s">
        <v>99</v>
      </c>
      <c r="H8" s="5"/>
      <c r="I8" s="5" t="s">
        <v>74</v>
      </c>
      <c r="J8" s="5"/>
      <c r="K8" s="5"/>
      <c r="L8" s="5" t="n">
        <v>6</v>
      </c>
      <c r="M8" s="5" t="s">
        <v>100</v>
      </c>
    </row>
    <row r="9" customFormat="false" ht="35.05" hidden="false" customHeight="false" outlineLevel="0" collapsed="false">
      <c r="A9" s="5" t="s">
        <v>95</v>
      </c>
      <c r="B9" s="5" t="s">
        <v>52</v>
      </c>
      <c r="C9" s="5" t="s">
        <v>101</v>
      </c>
      <c r="D9" s="5" t="s">
        <v>102</v>
      </c>
      <c r="E9" s="5" t="s">
        <v>103</v>
      </c>
      <c r="F9" s="5" t="s">
        <v>56</v>
      </c>
      <c r="G9" s="5" t="s">
        <v>104</v>
      </c>
      <c r="H9" s="5"/>
      <c r="I9" s="5" t="s">
        <v>74</v>
      </c>
      <c r="J9" s="5"/>
      <c r="K9" s="5"/>
      <c r="L9" s="5" t="n">
        <v>7</v>
      </c>
      <c r="M9" s="5" t="s">
        <v>105</v>
      </c>
    </row>
    <row r="10" customFormat="false" ht="46.25" hidden="false" customHeight="false" outlineLevel="0" collapsed="false">
      <c r="A10" s="5" t="s">
        <v>95</v>
      </c>
      <c r="B10" s="5" t="s">
        <v>52</v>
      </c>
      <c r="C10" s="5" t="s">
        <v>106</v>
      </c>
      <c r="D10" s="5" t="s">
        <v>107</v>
      </c>
      <c r="E10" s="5" t="s">
        <v>55</v>
      </c>
      <c r="F10" s="5" t="s">
        <v>56</v>
      </c>
      <c r="G10" s="5" t="s">
        <v>108</v>
      </c>
      <c r="H10" s="5" t="s">
        <v>58</v>
      </c>
      <c r="I10" s="5" t="s">
        <v>59</v>
      </c>
      <c r="J10" s="5" t="s">
        <v>60</v>
      </c>
      <c r="K10" s="5"/>
      <c r="L10" s="5" t="n">
        <v>8</v>
      </c>
      <c r="M10" s="5" t="s">
        <v>61</v>
      </c>
    </row>
    <row r="11" customFormat="false" ht="35.05" hidden="false" customHeight="false" outlineLevel="0" collapsed="false">
      <c r="A11" s="5" t="s">
        <v>109</v>
      </c>
      <c r="B11" s="5" t="s">
        <v>110</v>
      </c>
      <c r="C11" s="5" t="s">
        <v>62</v>
      </c>
      <c r="D11" s="5" t="s">
        <v>111</v>
      </c>
      <c r="E11" s="5" t="s">
        <v>55</v>
      </c>
      <c r="F11" s="5" t="s">
        <v>56</v>
      </c>
      <c r="G11" s="5" t="s">
        <v>112</v>
      </c>
      <c r="H11" s="5"/>
      <c r="I11" s="5" t="s">
        <v>74</v>
      </c>
      <c r="J11" s="5" t="s">
        <v>113</v>
      </c>
      <c r="K11" s="5"/>
      <c r="L11" s="5" t="n">
        <v>10</v>
      </c>
      <c r="M11" s="5" t="s">
        <v>114</v>
      </c>
    </row>
    <row r="12" customFormat="false" ht="35.05" hidden="false" customHeight="false" outlineLevel="0" collapsed="false">
      <c r="A12" s="5" t="s">
        <v>109</v>
      </c>
      <c r="B12" s="5" t="s">
        <v>110</v>
      </c>
      <c r="C12" s="5" t="s">
        <v>115</v>
      </c>
      <c r="D12" s="5" t="s">
        <v>116</v>
      </c>
      <c r="E12" s="5" t="s">
        <v>84</v>
      </c>
      <c r="F12" s="5" t="s">
        <v>56</v>
      </c>
      <c r="G12" s="5" t="s">
        <v>85</v>
      </c>
      <c r="H12" s="5"/>
      <c r="I12" s="5" t="s">
        <v>74</v>
      </c>
      <c r="J12" s="5" t="s">
        <v>117</v>
      </c>
      <c r="K12" s="5"/>
      <c r="L12" s="5" t="n">
        <v>11</v>
      </c>
      <c r="M12" s="5" t="s">
        <v>118</v>
      </c>
    </row>
    <row r="13" customFormat="false" ht="35.05" hidden="false" customHeight="false" outlineLevel="0" collapsed="false">
      <c r="A13" s="5" t="s">
        <v>109</v>
      </c>
      <c r="B13" s="5" t="s">
        <v>110</v>
      </c>
      <c r="C13" s="5" t="s">
        <v>119</v>
      </c>
      <c r="D13" s="5" t="s">
        <v>120</v>
      </c>
      <c r="E13" s="5" t="s">
        <v>71</v>
      </c>
      <c r="F13" s="5" t="s">
        <v>56</v>
      </c>
      <c r="G13" s="5"/>
      <c r="H13" s="5"/>
      <c r="I13" s="5" t="s">
        <v>74</v>
      </c>
      <c r="J13" s="5"/>
      <c r="K13" s="5" t="s">
        <v>121</v>
      </c>
      <c r="L13" s="5" t="n">
        <v>12</v>
      </c>
      <c r="M13" s="5"/>
    </row>
    <row r="14" customFormat="false" ht="35.05" hidden="false" customHeight="false" outlineLevel="0" collapsed="false">
      <c r="A14" s="5" t="s">
        <v>109</v>
      </c>
      <c r="B14" s="5" t="s">
        <v>110</v>
      </c>
      <c r="C14" s="5" t="s">
        <v>122</v>
      </c>
      <c r="D14" s="5" t="s">
        <v>123</v>
      </c>
      <c r="E14" s="5" t="s">
        <v>71</v>
      </c>
      <c r="F14" s="5" t="s">
        <v>58</v>
      </c>
      <c r="G14" s="5"/>
      <c r="H14" s="5"/>
      <c r="I14" s="5" t="s">
        <v>74</v>
      </c>
      <c r="J14" s="5"/>
      <c r="K14" s="5" t="s">
        <v>124</v>
      </c>
      <c r="L14" s="5" t="n">
        <v>13</v>
      </c>
      <c r="M14" s="5" t="s">
        <v>125</v>
      </c>
    </row>
    <row r="15" customFormat="false" ht="35.05" hidden="false" customHeight="false" outlineLevel="0" collapsed="false">
      <c r="A15" s="5" t="s">
        <v>109</v>
      </c>
      <c r="B15" s="5" t="s">
        <v>110</v>
      </c>
      <c r="C15" s="5" t="s">
        <v>126</v>
      </c>
      <c r="D15" s="5" t="s">
        <v>127</v>
      </c>
      <c r="E15" s="5" t="s">
        <v>71</v>
      </c>
      <c r="F15" s="5" t="s">
        <v>56</v>
      </c>
      <c r="G15" s="5"/>
      <c r="H15" s="5"/>
      <c r="I15" s="5" t="s">
        <v>74</v>
      </c>
      <c r="J15" s="5"/>
      <c r="K15" s="5" t="s">
        <v>128</v>
      </c>
      <c r="L15" s="5" t="n">
        <v>14</v>
      </c>
      <c r="M15" s="5"/>
    </row>
    <row r="16" customFormat="false" ht="35.05" hidden="false" customHeight="false" outlineLevel="0" collapsed="false">
      <c r="A16" s="5" t="s">
        <v>109</v>
      </c>
      <c r="B16" s="5" t="s">
        <v>110</v>
      </c>
      <c r="C16" s="5" t="s">
        <v>129</v>
      </c>
      <c r="D16" s="5" t="s">
        <v>130</v>
      </c>
      <c r="E16" s="5" t="s">
        <v>131</v>
      </c>
      <c r="F16" s="5" t="s">
        <v>56</v>
      </c>
      <c r="G16" s="5" t="s">
        <v>132</v>
      </c>
      <c r="H16" s="5"/>
      <c r="I16" s="5" t="s">
        <v>74</v>
      </c>
      <c r="J16" s="5" t="s">
        <v>133</v>
      </c>
      <c r="K16" s="5" t="s">
        <v>134</v>
      </c>
      <c r="L16" s="5" t="n">
        <v>15</v>
      </c>
      <c r="M16" s="5"/>
    </row>
    <row r="17" customFormat="false" ht="35.05" hidden="false" customHeight="false" outlineLevel="0" collapsed="false">
      <c r="A17" s="5" t="s">
        <v>109</v>
      </c>
      <c r="B17" s="5" t="s">
        <v>110</v>
      </c>
      <c r="C17" s="5" t="s">
        <v>135</v>
      </c>
      <c r="D17" s="5" t="s">
        <v>136</v>
      </c>
      <c r="E17" s="5" t="s">
        <v>137</v>
      </c>
      <c r="F17" s="5" t="s">
        <v>56</v>
      </c>
      <c r="G17" s="5" t="s">
        <v>138</v>
      </c>
      <c r="H17" s="5"/>
      <c r="I17" s="5" t="s">
        <v>74</v>
      </c>
      <c r="J17" s="5"/>
      <c r="K17" s="5" t="s">
        <v>139</v>
      </c>
      <c r="L17" s="5" t="n">
        <v>16</v>
      </c>
      <c r="M17" s="5"/>
    </row>
    <row r="18" customFormat="false" ht="35.05" hidden="false" customHeight="false" outlineLevel="0" collapsed="false">
      <c r="A18" s="5" t="s">
        <v>109</v>
      </c>
      <c r="B18" s="5" t="s">
        <v>110</v>
      </c>
      <c r="C18" s="5" t="s">
        <v>140</v>
      </c>
      <c r="D18" s="5" t="s">
        <v>141</v>
      </c>
      <c r="E18" s="5" t="s">
        <v>142</v>
      </c>
      <c r="F18" s="5" t="s">
        <v>56</v>
      </c>
      <c r="G18" s="5" t="s">
        <v>143</v>
      </c>
      <c r="H18" s="5"/>
      <c r="I18" s="5" t="s">
        <v>74</v>
      </c>
      <c r="J18" s="5"/>
      <c r="K18" s="5" t="s">
        <v>144</v>
      </c>
      <c r="L18" s="5" t="n">
        <v>17</v>
      </c>
      <c r="M18" s="5"/>
    </row>
    <row r="19" customFormat="false" ht="35.05" hidden="false" customHeight="false" outlineLevel="0" collapsed="false">
      <c r="A19" s="5" t="s">
        <v>109</v>
      </c>
      <c r="B19" s="5" t="s">
        <v>110</v>
      </c>
      <c r="C19" s="5" t="s">
        <v>145</v>
      </c>
      <c r="D19" s="5" t="s">
        <v>146</v>
      </c>
      <c r="E19" s="5" t="s">
        <v>147</v>
      </c>
      <c r="F19" s="5" t="s">
        <v>56</v>
      </c>
      <c r="G19" s="5" t="s">
        <v>148</v>
      </c>
      <c r="H19" s="5"/>
      <c r="I19" s="5" t="s">
        <v>74</v>
      </c>
      <c r="J19" s="5"/>
      <c r="K19" s="5" t="s">
        <v>149</v>
      </c>
      <c r="L19" s="5" t="n">
        <v>18</v>
      </c>
      <c r="M19" s="5"/>
    </row>
    <row r="20" customFormat="false" ht="35.05" hidden="false" customHeight="false" outlineLevel="0" collapsed="false">
      <c r="A20" s="5" t="s">
        <v>109</v>
      </c>
      <c r="B20" s="5" t="s">
        <v>110</v>
      </c>
      <c r="C20" s="5" t="s">
        <v>150</v>
      </c>
      <c r="D20" s="5" t="s">
        <v>151</v>
      </c>
      <c r="E20" s="5" t="s">
        <v>147</v>
      </c>
      <c r="F20" s="5" t="s">
        <v>58</v>
      </c>
      <c r="G20" s="5" t="s">
        <v>148</v>
      </c>
      <c r="H20" s="5"/>
      <c r="I20" s="5" t="s">
        <v>74</v>
      </c>
      <c r="J20" s="5"/>
      <c r="K20" s="5" t="s">
        <v>152</v>
      </c>
      <c r="L20" s="5" t="n">
        <v>19</v>
      </c>
      <c r="M20" s="5" t="s">
        <v>153</v>
      </c>
    </row>
    <row r="21" customFormat="false" ht="23.85" hidden="false" customHeight="false" outlineLevel="0" collapsed="false">
      <c r="A21" s="5" t="s">
        <v>109</v>
      </c>
      <c r="B21" s="5" t="s">
        <v>154</v>
      </c>
      <c r="C21" s="5" t="s">
        <v>115</v>
      </c>
      <c r="D21" s="5" t="s">
        <v>155</v>
      </c>
      <c r="E21" s="5" t="s">
        <v>71</v>
      </c>
      <c r="F21" s="5" t="s">
        <v>58</v>
      </c>
      <c r="G21" s="5"/>
      <c r="H21" s="5"/>
      <c r="I21" s="5" t="s">
        <v>74</v>
      </c>
      <c r="J21" s="5"/>
      <c r="K21" s="5"/>
      <c r="L21" s="5" t="n">
        <v>20</v>
      </c>
      <c r="M21" s="5" t="s">
        <v>156</v>
      </c>
    </row>
    <row r="22" customFormat="false" ht="15" hidden="false" customHeight="false" outlineLevel="0" collapsed="false">
      <c r="A22" s="5" t="s">
        <v>109</v>
      </c>
      <c r="B22" s="5" t="s">
        <v>154</v>
      </c>
      <c r="C22" s="5" t="s">
        <v>119</v>
      </c>
      <c r="D22" s="5" t="s">
        <v>157</v>
      </c>
      <c r="E22" s="5" t="s">
        <v>71</v>
      </c>
      <c r="F22" s="5" t="s">
        <v>58</v>
      </c>
      <c r="G22" s="5"/>
      <c r="H22" s="5"/>
      <c r="I22" s="5" t="s">
        <v>74</v>
      </c>
      <c r="J22" s="5"/>
      <c r="K22" s="5"/>
      <c r="L22" s="5" t="n">
        <v>21</v>
      </c>
      <c r="M22" s="5"/>
    </row>
    <row r="23" customFormat="false" ht="15" hidden="false" customHeight="false" outlineLevel="0" collapsed="false">
      <c r="A23" s="5" t="s">
        <v>109</v>
      </c>
      <c r="B23" s="5" t="s">
        <v>154</v>
      </c>
      <c r="C23" s="5" t="s">
        <v>122</v>
      </c>
      <c r="D23" s="5" t="s">
        <v>158</v>
      </c>
      <c r="E23" s="5" t="s">
        <v>71</v>
      </c>
      <c r="F23" s="5" t="s">
        <v>58</v>
      </c>
      <c r="G23" s="5"/>
      <c r="H23" s="5"/>
      <c r="I23" s="5" t="s">
        <v>74</v>
      </c>
      <c r="J23" s="5"/>
      <c r="K23" s="5"/>
      <c r="L23" s="5" t="n">
        <v>22</v>
      </c>
      <c r="M23" s="5"/>
    </row>
    <row r="24" customFormat="false" ht="15" hidden="false" customHeight="false" outlineLevel="0" collapsed="false">
      <c r="A24" s="5" t="s">
        <v>109</v>
      </c>
      <c r="B24" s="5" t="s">
        <v>154</v>
      </c>
      <c r="C24" s="5" t="s">
        <v>126</v>
      </c>
      <c r="D24" s="5" t="s">
        <v>159</v>
      </c>
      <c r="E24" s="5" t="s">
        <v>71</v>
      </c>
      <c r="F24" s="5" t="s">
        <v>58</v>
      </c>
      <c r="G24" s="5"/>
      <c r="H24" s="5"/>
      <c r="I24" s="5" t="s">
        <v>74</v>
      </c>
      <c r="J24" s="5"/>
      <c r="K24" s="5"/>
      <c r="L24" s="5" t="n">
        <v>23</v>
      </c>
      <c r="M24" s="5"/>
    </row>
    <row r="25" customFormat="false" ht="15" hidden="false" customHeight="false" outlineLevel="0" collapsed="false">
      <c r="A25" s="5" t="s">
        <v>109</v>
      </c>
      <c r="B25" s="5" t="s">
        <v>154</v>
      </c>
      <c r="C25" s="5" t="s">
        <v>129</v>
      </c>
      <c r="D25" s="5" t="s">
        <v>160</v>
      </c>
      <c r="E25" s="5" t="s">
        <v>131</v>
      </c>
      <c r="F25" s="5" t="s">
        <v>58</v>
      </c>
      <c r="G25" s="5" t="s">
        <v>132</v>
      </c>
      <c r="H25" s="5"/>
      <c r="I25" s="5" t="s">
        <v>74</v>
      </c>
      <c r="J25" s="5" t="s">
        <v>133</v>
      </c>
      <c r="K25" s="5"/>
      <c r="L25" s="5" t="n">
        <v>24</v>
      </c>
      <c r="M25" s="5"/>
    </row>
    <row r="26" customFormat="false" ht="15" hidden="false" customHeight="false" outlineLevel="0" collapsed="false">
      <c r="A26" s="5" t="s">
        <v>109</v>
      </c>
      <c r="B26" s="5" t="s">
        <v>154</v>
      </c>
      <c r="C26" s="5" t="s">
        <v>135</v>
      </c>
      <c r="D26" s="5" t="s">
        <v>161</v>
      </c>
      <c r="E26" s="5" t="s">
        <v>137</v>
      </c>
      <c r="F26" s="5" t="s">
        <v>58</v>
      </c>
      <c r="G26" s="5" t="s">
        <v>138</v>
      </c>
      <c r="H26" s="5"/>
      <c r="I26" s="5" t="s">
        <v>74</v>
      </c>
      <c r="J26" s="5"/>
      <c r="K26" s="5"/>
      <c r="L26" s="5" t="n">
        <v>25</v>
      </c>
      <c r="M26" s="5"/>
    </row>
    <row r="27" customFormat="false" ht="15" hidden="false" customHeight="false" outlineLevel="0" collapsed="false">
      <c r="A27" s="5" t="s">
        <v>109</v>
      </c>
      <c r="B27" s="5" t="s">
        <v>154</v>
      </c>
      <c r="C27" s="5" t="s">
        <v>140</v>
      </c>
      <c r="D27" s="5" t="s">
        <v>162</v>
      </c>
      <c r="E27" s="5" t="s">
        <v>142</v>
      </c>
      <c r="F27" s="5" t="s">
        <v>58</v>
      </c>
      <c r="G27" s="5" t="s">
        <v>143</v>
      </c>
      <c r="H27" s="5"/>
      <c r="I27" s="5" t="s">
        <v>74</v>
      </c>
      <c r="J27" s="5"/>
      <c r="K27" s="5"/>
      <c r="L27" s="5" t="n">
        <v>26</v>
      </c>
      <c r="M27" s="5"/>
    </row>
    <row r="28" customFormat="false" ht="15" hidden="false" customHeight="false" outlineLevel="0" collapsed="false">
      <c r="A28" s="5" t="s">
        <v>109</v>
      </c>
      <c r="B28" s="5" t="s">
        <v>154</v>
      </c>
      <c r="C28" s="5" t="s">
        <v>145</v>
      </c>
      <c r="D28" s="5" t="s">
        <v>163</v>
      </c>
      <c r="E28" s="5" t="s">
        <v>147</v>
      </c>
      <c r="F28" s="5" t="s">
        <v>58</v>
      </c>
      <c r="G28" s="5" t="s">
        <v>148</v>
      </c>
      <c r="H28" s="5"/>
      <c r="I28" s="5" t="s">
        <v>74</v>
      </c>
      <c r="J28" s="5"/>
      <c r="K28" s="5"/>
      <c r="L28" s="5" t="n">
        <v>27</v>
      </c>
      <c r="M28" s="5"/>
    </row>
    <row r="29" customFormat="false" ht="23.85" hidden="false" customHeight="false" outlineLevel="0" collapsed="false">
      <c r="A29" s="5" t="s">
        <v>109</v>
      </c>
      <c r="B29" s="5" t="s">
        <v>164</v>
      </c>
      <c r="C29" s="5" t="s">
        <v>115</v>
      </c>
      <c r="D29" s="5" t="s">
        <v>165</v>
      </c>
      <c r="E29" s="5" t="s">
        <v>71</v>
      </c>
      <c r="F29" s="5" t="s">
        <v>58</v>
      </c>
      <c r="G29" s="5"/>
      <c r="H29" s="5"/>
      <c r="I29" s="5" t="s">
        <v>74</v>
      </c>
      <c r="J29" s="5"/>
      <c r="K29" s="5"/>
      <c r="L29" s="5" t="n">
        <v>28</v>
      </c>
      <c r="M29" s="5" t="s">
        <v>156</v>
      </c>
    </row>
    <row r="30" customFormat="false" ht="15" hidden="false" customHeight="false" outlineLevel="0" collapsed="false">
      <c r="A30" s="5" t="s">
        <v>109</v>
      </c>
      <c r="B30" s="5" t="s">
        <v>164</v>
      </c>
      <c r="C30" s="5" t="s">
        <v>119</v>
      </c>
      <c r="D30" s="5" t="s">
        <v>166</v>
      </c>
      <c r="E30" s="5" t="s">
        <v>71</v>
      </c>
      <c r="F30" s="5" t="s">
        <v>58</v>
      </c>
      <c r="G30" s="5"/>
      <c r="H30" s="5"/>
      <c r="I30" s="5" t="s">
        <v>74</v>
      </c>
      <c r="J30" s="5"/>
      <c r="K30" s="5"/>
      <c r="L30" s="5" t="n">
        <v>29</v>
      </c>
      <c r="M30" s="5"/>
    </row>
    <row r="31" customFormat="false" ht="15" hidden="false" customHeight="false" outlineLevel="0" collapsed="false">
      <c r="A31" s="5" t="s">
        <v>109</v>
      </c>
      <c r="B31" s="5" t="s">
        <v>164</v>
      </c>
      <c r="C31" s="5" t="s">
        <v>122</v>
      </c>
      <c r="D31" s="5" t="s">
        <v>167</v>
      </c>
      <c r="E31" s="5" t="s">
        <v>71</v>
      </c>
      <c r="F31" s="5" t="s">
        <v>58</v>
      </c>
      <c r="G31" s="5"/>
      <c r="H31" s="5"/>
      <c r="I31" s="5" t="s">
        <v>74</v>
      </c>
      <c r="J31" s="5"/>
      <c r="K31" s="5"/>
      <c r="L31" s="5" t="n">
        <v>30</v>
      </c>
      <c r="M31" s="5"/>
    </row>
    <row r="32" customFormat="false" ht="15" hidden="false" customHeight="false" outlineLevel="0" collapsed="false">
      <c r="A32" s="5" t="s">
        <v>109</v>
      </c>
      <c r="B32" s="5" t="s">
        <v>164</v>
      </c>
      <c r="C32" s="5" t="s">
        <v>126</v>
      </c>
      <c r="D32" s="5" t="s">
        <v>168</v>
      </c>
      <c r="E32" s="5" t="s">
        <v>71</v>
      </c>
      <c r="F32" s="5" t="s">
        <v>58</v>
      </c>
      <c r="G32" s="5"/>
      <c r="H32" s="5"/>
      <c r="I32" s="5" t="s">
        <v>74</v>
      </c>
      <c r="J32" s="5"/>
      <c r="K32" s="5"/>
      <c r="L32" s="5" t="n">
        <v>31</v>
      </c>
      <c r="M32" s="5"/>
    </row>
    <row r="33" customFormat="false" ht="15" hidden="false" customHeight="false" outlineLevel="0" collapsed="false">
      <c r="A33" s="5" t="s">
        <v>109</v>
      </c>
      <c r="B33" s="5" t="s">
        <v>164</v>
      </c>
      <c r="C33" s="5" t="s">
        <v>129</v>
      </c>
      <c r="D33" s="5" t="s">
        <v>169</v>
      </c>
      <c r="E33" s="5" t="s">
        <v>131</v>
      </c>
      <c r="F33" s="5" t="s">
        <v>58</v>
      </c>
      <c r="G33" s="5" t="s">
        <v>132</v>
      </c>
      <c r="H33" s="5"/>
      <c r="I33" s="5" t="s">
        <v>74</v>
      </c>
      <c r="J33" s="5" t="s">
        <v>133</v>
      </c>
      <c r="K33" s="5"/>
      <c r="L33" s="5" t="n">
        <v>32</v>
      </c>
      <c r="M33" s="5"/>
    </row>
    <row r="34" customFormat="false" ht="15" hidden="false" customHeight="false" outlineLevel="0" collapsed="false">
      <c r="A34" s="5" t="s">
        <v>109</v>
      </c>
      <c r="B34" s="5" t="s">
        <v>164</v>
      </c>
      <c r="C34" s="5" t="s">
        <v>135</v>
      </c>
      <c r="D34" s="5" t="s">
        <v>170</v>
      </c>
      <c r="E34" s="5" t="s">
        <v>137</v>
      </c>
      <c r="F34" s="5" t="s">
        <v>58</v>
      </c>
      <c r="G34" s="5" t="s">
        <v>138</v>
      </c>
      <c r="H34" s="5"/>
      <c r="I34" s="5" t="s">
        <v>74</v>
      </c>
      <c r="J34" s="5"/>
      <c r="K34" s="5"/>
      <c r="L34" s="5" t="n">
        <v>33</v>
      </c>
      <c r="M34" s="5"/>
    </row>
    <row r="35" customFormat="false" ht="15" hidden="false" customHeight="false" outlineLevel="0" collapsed="false">
      <c r="A35" s="5" t="s">
        <v>109</v>
      </c>
      <c r="B35" s="5" t="s">
        <v>164</v>
      </c>
      <c r="C35" s="5" t="s">
        <v>140</v>
      </c>
      <c r="D35" s="5" t="s">
        <v>171</v>
      </c>
      <c r="E35" s="5" t="s">
        <v>142</v>
      </c>
      <c r="F35" s="5" t="s">
        <v>58</v>
      </c>
      <c r="G35" s="5" t="s">
        <v>143</v>
      </c>
      <c r="H35" s="5"/>
      <c r="I35" s="5" t="s">
        <v>74</v>
      </c>
      <c r="J35" s="5"/>
      <c r="K35" s="5"/>
      <c r="L35" s="5" t="n">
        <v>34</v>
      </c>
      <c r="M35" s="5"/>
    </row>
    <row r="36" customFormat="false" ht="15" hidden="false" customHeight="false" outlineLevel="0" collapsed="false">
      <c r="A36" s="5" t="s">
        <v>109</v>
      </c>
      <c r="B36" s="5" t="s">
        <v>164</v>
      </c>
      <c r="C36" s="5" t="s">
        <v>145</v>
      </c>
      <c r="D36" s="5" t="s">
        <v>172</v>
      </c>
      <c r="E36" s="5" t="s">
        <v>147</v>
      </c>
      <c r="F36" s="5" t="s">
        <v>58</v>
      </c>
      <c r="G36" s="5" t="s">
        <v>148</v>
      </c>
      <c r="H36" s="5"/>
      <c r="I36" s="5" t="s">
        <v>74</v>
      </c>
      <c r="J36" s="5"/>
      <c r="K36" s="5"/>
      <c r="L36" s="5" t="n">
        <v>35</v>
      </c>
      <c r="M36" s="5"/>
    </row>
    <row r="37" customFormat="false" ht="46.25" hidden="false" customHeight="false" outlineLevel="0" collapsed="false">
      <c r="A37" s="5" t="s">
        <v>109</v>
      </c>
      <c r="B37" s="5" t="s">
        <v>173</v>
      </c>
      <c r="C37" s="5" t="s">
        <v>115</v>
      </c>
      <c r="D37" s="5" t="s">
        <v>174</v>
      </c>
      <c r="E37" s="5" t="s">
        <v>84</v>
      </c>
      <c r="F37" s="5" t="s">
        <v>56</v>
      </c>
      <c r="G37" s="5" t="s">
        <v>85</v>
      </c>
      <c r="H37" s="5" t="s">
        <v>175</v>
      </c>
      <c r="I37" s="5" t="s">
        <v>59</v>
      </c>
      <c r="J37" s="5" t="s">
        <v>176</v>
      </c>
      <c r="K37" s="5"/>
      <c r="L37" s="5" t="n">
        <v>36</v>
      </c>
      <c r="M37" s="5" t="s">
        <v>177</v>
      </c>
    </row>
    <row r="38" customFormat="false" ht="46.25" hidden="false" customHeight="false" outlineLevel="0" collapsed="false">
      <c r="A38" s="5" t="s">
        <v>109</v>
      </c>
      <c r="B38" s="5" t="s">
        <v>173</v>
      </c>
      <c r="C38" s="5" t="s">
        <v>178</v>
      </c>
      <c r="D38" s="5" t="s">
        <v>179</v>
      </c>
      <c r="E38" s="5" t="s">
        <v>55</v>
      </c>
      <c r="F38" s="5" t="s">
        <v>56</v>
      </c>
      <c r="G38" s="5" t="s">
        <v>180</v>
      </c>
      <c r="H38" s="5" t="s">
        <v>73</v>
      </c>
      <c r="I38" s="5" t="s">
        <v>74</v>
      </c>
      <c r="J38" s="5" t="s">
        <v>181</v>
      </c>
      <c r="K38" s="5" t="s">
        <v>67</v>
      </c>
      <c r="L38" s="5" t="n">
        <v>37</v>
      </c>
      <c r="M38" s="5" t="s">
        <v>182</v>
      </c>
    </row>
    <row r="39" customFormat="false" ht="46.25" hidden="false" customHeight="false" outlineLevel="0" collapsed="false">
      <c r="A39" s="5" t="s">
        <v>109</v>
      </c>
      <c r="B39" s="5" t="s">
        <v>173</v>
      </c>
      <c r="C39" s="5" t="s">
        <v>183</v>
      </c>
      <c r="D39" s="5" t="s">
        <v>184</v>
      </c>
      <c r="E39" s="5" t="s">
        <v>71</v>
      </c>
      <c r="F39" s="5" t="s">
        <v>58</v>
      </c>
      <c r="G39" s="5"/>
      <c r="H39" s="5" t="s">
        <v>73</v>
      </c>
      <c r="I39" s="5" t="s">
        <v>74</v>
      </c>
      <c r="J39" s="5"/>
      <c r="K39" s="5" t="s">
        <v>185</v>
      </c>
      <c r="L39" s="5" t="n">
        <v>38</v>
      </c>
      <c r="M39" s="5" t="s">
        <v>186</v>
      </c>
    </row>
    <row r="40" customFormat="false" ht="46.25" hidden="false" customHeight="false" outlineLevel="0" collapsed="false">
      <c r="A40" s="5" t="s">
        <v>109</v>
      </c>
      <c r="B40" s="5" t="s">
        <v>173</v>
      </c>
      <c r="C40" s="5" t="s">
        <v>119</v>
      </c>
      <c r="D40" s="5" t="s">
        <v>187</v>
      </c>
      <c r="E40" s="5" t="s">
        <v>71</v>
      </c>
      <c r="F40" s="5" t="s">
        <v>56</v>
      </c>
      <c r="G40" s="5"/>
      <c r="H40" s="5" t="s">
        <v>73</v>
      </c>
      <c r="I40" s="5" t="s">
        <v>74</v>
      </c>
      <c r="J40" s="5"/>
      <c r="K40" s="5" t="s">
        <v>188</v>
      </c>
      <c r="L40" s="5" t="n">
        <v>39</v>
      </c>
      <c r="M40" s="5" t="s">
        <v>189</v>
      </c>
    </row>
    <row r="41" customFormat="false" ht="46.25" hidden="false" customHeight="false" outlineLevel="0" collapsed="false">
      <c r="A41" s="5" t="s">
        <v>109</v>
      </c>
      <c r="B41" s="5" t="s">
        <v>173</v>
      </c>
      <c r="C41" s="5" t="s">
        <v>122</v>
      </c>
      <c r="D41" s="5" t="s">
        <v>190</v>
      </c>
      <c r="E41" s="5" t="s">
        <v>71</v>
      </c>
      <c r="F41" s="5" t="s">
        <v>58</v>
      </c>
      <c r="G41" s="5"/>
      <c r="H41" s="5" t="s">
        <v>73</v>
      </c>
      <c r="I41" s="5" t="s">
        <v>74</v>
      </c>
      <c r="J41" s="5"/>
      <c r="K41" s="5" t="s">
        <v>191</v>
      </c>
      <c r="L41" s="5" t="n">
        <v>40</v>
      </c>
      <c r="M41" s="5" t="s">
        <v>189</v>
      </c>
    </row>
    <row r="42" customFormat="false" ht="46.25" hidden="false" customHeight="false" outlineLevel="0" collapsed="false">
      <c r="A42" s="5" t="s">
        <v>109</v>
      </c>
      <c r="B42" s="5" t="s">
        <v>173</v>
      </c>
      <c r="C42" s="5" t="s">
        <v>126</v>
      </c>
      <c r="D42" s="5" t="s">
        <v>192</v>
      </c>
      <c r="E42" s="5" t="s">
        <v>71</v>
      </c>
      <c r="F42" s="5" t="s">
        <v>56</v>
      </c>
      <c r="G42" s="5"/>
      <c r="H42" s="5" t="s">
        <v>73</v>
      </c>
      <c r="I42" s="5" t="s">
        <v>74</v>
      </c>
      <c r="J42" s="5"/>
      <c r="K42" s="5" t="s">
        <v>193</v>
      </c>
      <c r="L42" s="5" t="n">
        <v>41</v>
      </c>
      <c r="M42" s="5" t="s">
        <v>189</v>
      </c>
    </row>
    <row r="43" customFormat="false" ht="46.25" hidden="false" customHeight="false" outlineLevel="0" collapsed="false">
      <c r="A43" s="5" t="s">
        <v>109</v>
      </c>
      <c r="B43" s="5" t="s">
        <v>173</v>
      </c>
      <c r="C43" s="5" t="s">
        <v>129</v>
      </c>
      <c r="D43" s="5" t="s">
        <v>194</v>
      </c>
      <c r="E43" s="5" t="s">
        <v>131</v>
      </c>
      <c r="F43" s="5" t="s">
        <v>56</v>
      </c>
      <c r="G43" s="5" t="s">
        <v>132</v>
      </c>
      <c r="H43" s="5" t="s">
        <v>73</v>
      </c>
      <c r="I43" s="5" t="s">
        <v>74</v>
      </c>
      <c r="J43" s="5" t="s">
        <v>133</v>
      </c>
      <c r="K43" s="5" t="s">
        <v>195</v>
      </c>
      <c r="L43" s="5" t="n">
        <v>42</v>
      </c>
      <c r="M43" s="5" t="s">
        <v>189</v>
      </c>
    </row>
    <row r="44" customFormat="false" ht="46.25" hidden="false" customHeight="false" outlineLevel="0" collapsed="false">
      <c r="A44" s="5" t="s">
        <v>109</v>
      </c>
      <c r="B44" s="5" t="s">
        <v>173</v>
      </c>
      <c r="C44" s="5" t="s">
        <v>135</v>
      </c>
      <c r="D44" s="5" t="s">
        <v>196</v>
      </c>
      <c r="E44" s="5" t="s">
        <v>137</v>
      </c>
      <c r="F44" s="5" t="s">
        <v>56</v>
      </c>
      <c r="G44" s="5" t="s">
        <v>138</v>
      </c>
      <c r="H44" s="5" t="s">
        <v>73</v>
      </c>
      <c r="I44" s="5" t="s">
        <v>74</v>
      </c>
      <c r="J44" s="5"/>
      <c r="K44" s="5" t="s">
        <v>197</v>
      </c>
      <c r="L44" s="5" t="n">
        <v>43</v>
      </c>
      <c r="M44" s="5" t="s">
        <v>189</v>
      </c>
    </row>
    <row r="45" customFormat="false" ht="46.25" hidden="false" customHeight="false" outlineLevel="0" collapsed="false">
      <c r="A45" s="5" t="s">
        <v>109</v>
      </c>
      <c r="B45" s="5" t="s">
        <v>173</v>
      </c>
      <c r="C45" s="5" t="s">
        <v>140</v>
      </c>
      <c r="D45" s="5" t="s">
        <v>198</v>
      </c>
      <c r="E45" s="5" t="s">
        <v>142</v>
      </c>
      <c r="F45" s="5" t="s">
        <v>56</v>
      </c>
      <c r="G45" s="5" t="s">
        <v>143</v>
      </c>
      <c r="H45" s="5" t="s">
        <v>73</v>
      </c>
      <c r="I45" s="5" t="s">
        <v>74</v>
      </c>
      <c r="J45" s="5"/>
      <c r="K45" s="5" t="s">
        <v>199</v>
      </c>
      <c r="L45" s="5" t="n">
        <v>44</v>
      </c>
      <c r="M45" s="5" t="s">
        <v>189</v>
      </c>
    </row>
    <row r="46" customFormat="false" ht="46.25" hidden="false" customHeight="false" outlineLevel="0" collapsed="false">
      <c r="A46" s="5" t="s">
        <v>109</v>
      </c>
      <c r="B46" s="5" t="s">
        <v>173</v>
      </c>
      <c r="C46" s="5" t="s">
        <v>145</v>
      </c>
      <c r="D46" s="5" t="s">
        <v>200</v>
      </c>
      <c r="E46" s="5" t="s">
        <v>147</v>
      </c>
      <c r="F46" s="5" t="s">
        <v>56</v>
      </c>
      <c r="G46" s="5" t="s">
        <v>148</v>
      </c>
      <c r="H46" s="5" t="s">
        <v>73</v>
      </c>
      <c r="I46" s="5" t="s">
        <v>74</v>
      </c>
      <c r="J46" s="5"/>
      <c r="K46" s="5" t="s">
        <v>201</v>
      </c>
      <c r="L46" s="5" t="n">
        <v>45</v>
      </c>
      <c r="M46" s="5" t="s">
        <v>189</v>
      </c>
    </row>
    <row r="47" customFormat="false" ht="46.25" hidden="false" customHeight="false" outlineLevel="0" collapsed="false">
      <c r="A47" s="5" t="s">
        <v>109</v>
      </c>
      <c r="B47" s="5" t="s">
        <v>173</v>
      </c>
      <c r="C47" s="5" t="s">
        <v>150</v>
      </c>
      <c r="D47" s="5" t="s">
        <v>202</v>
      </c>
      <c r="E47" s="5" t="s">
        <v>147</v>
      </c>
      <c r="F47" s="5" t="s">
        <v>58</v>
      </c>
      <c r="G47" s="5" t="s">
        <v>148</v>
      </c>
      <c r="H47" s="5" t="s">
        <v>73</v>
      </c>
      <c r="I47" s="5" t="s">
        <v>74</v>
      </c>
      <c r="J47" s="5"/>
      <c r="K47" s="5" t="s">
        <v>203</v>
      </c>
      <c r="L47" s="5" t="n">
        <v>46</v>
      </c>
      <c r="M47" s="5" t="s">
        <v>189</v>
      </c>
    </row>
    <row r="48" customFormat="false" ht="23.85" hidden="false" customHeight="false" outlineLevel="0" collapsed="false">
      <c r="A48" s="5" t="s">
        <v>109</v>
      </c>
      <c r="B48" s="5" t="s">
        <v>154</v>
      </c>
      <c r="C48" s="5" t="s">
        <v>115</v>
      </c>
      <c r="D48" s="5" t="s">
        <v>204</v>
      </c>
      <c r="E48" s="5" t="s">
        <v>71</v>
      </c>
      <c r="F48" s="5" t="s">
        <v>58</v>
      </c>
      <c r="G48" s="5"/>
      <c r="H48" s="5"/>
      <c r="I48" s="5" t="s">
        <v>74</v>
      </c>
      <c r="J48" s="5"/>
      <c r="K48" s="5"/>
      <c r="L48" s="5" t="n">
        <v>47</v>
      </c>
      <c r="M48" s="5" t="s">
        <v>156</v>
      </c>
    </row>
    <row r="49" customFormat="false" ht="15" hidden="false" customHeight="false" outlineLevel="0" collapsed="false">
      <c r="A49" s="5" t="s">
        <v>109</v>
      </c>
      <c r="B49" s="5" t="s">
        <v>154</v>
      </c>
      <c r="C49" s="5" t="s">
        <v>119</v>
      </c>
      <c r="D49" s="5" t="s">
        <v>205</v>
      </c>
      <c r="E49" s="5" t="s">
        <v>71</v>
      </c>
      <c r="F49" s="5" t="s">
        <v>58</v>
      </c>
      <c r="G49" s="5"/>
      <c r="H49" s="5"/>
      <c r="I49" s="5" t="s">
        <v>74</v>
      </c>
      <c r="J49" s="5"/>
      <c r="K49" s="5"/>
      <c r="L49" s="5" t="n">
        <v>48</v>
      </c>
      <c r="M49" s="5"/>
    </row>
    <row r="50" customFormat="false" ht="15" hidden="false" customHeight="false" outlineLevel="0" collapsed="false">
      <c r="A50" s="5" t="s">
        <v>109</v>
      </c>
      <c r="B50" s="5" t="s">
        <v>154</v>
      </c>
      <c r="C50" s="5" t="s">
        <v>122</v>
      </c>
      <c r="D50" s="5" t="s">
        <v>206</v>
      </c>
      <c r="E50" s="5" t="s">
        <v>71</v>
      </c>
      <c r="F50" s="5" t="s">
        <v>58</v>
      </c>
      <c r="G50" s="5"/>
      <c r="H50" s="5"/>
      <c r="I50" s="5" t="s">
        <v>74</v>
      </c>
      <c r="J50" s="5"/>
      <c r="K50" s="5"/>
      <c r="L50" s="5" t="n">
        <v>49</v>
      </c>
      <c r="M50" s="5"/>
    </row>
    <row r="51" customFormat="false" ht="15" hidden="false" customHeight="false" outlineLevel="0" collapsed="false">
      <c r="A51" s="5" t="s">
        <v>109</v>
      </c>
      <c r="B51" s="5" t="s">
        <v>154</v>
      </c>
      <c r="C51" s="5" t="s">
        <v>126</v>
      </c>
      <c r="D51" s="5" t="s">
        <v>207</v>
      </c>
      <c r="E51" s="5" t="s">
        <v>71</v>
      </c>
      <c r="F51" s="5" t="s">
        <v>58</v>
      </c>
      <c r="G51" s="5"/>
      <c r="H51" s="5"/>
      <c r="I51" s="5" t="s">
        <v>74</v>
      </c>
      <c r="J51" s="5"/>
      <c r="K51" s="5"/>
      <c r="L51" s="5" t="n">
        <v>50</v>
      </c>
      <c r="M51" s="5"/>
    </row>
    <row r="52" customFormat="false" ht="15" hidden="false" customHeight="false" outlineLevel="0" collapsed="false">
      <c r="A52" s="5" t="s">
        <v>109</v>
      </c>
      <c r="B52" s="5" t="s">
        <v>154</v>
      </c>
      <c r="C52" s="5" t="s">
        <v>129</v>
      </c>
      <c r="D52" s="5" t="s">
        <v>208</v>
      </c>
      <c r="E52" s="5" t="s">
        <v>131</v>
      </c>
      <c r="F52" s="5" t="s">
        <v>58</v>
      </c>
      <c r="G52" s="5" t="s">
        <v>132</v>
      </c>
      <c r="H52" s="5"/>
      <c r="I52" s="5" t="s">
        <v>74</v>
      </c>
      <c r="J52" s="5" t="s">
        <v>133</v>
      </c>
      <c r="K52" s="5"/>
      <c r="L52" s="5" t="n">
        <v>51</v>
      </c>
      <c r="M52" s="5"/>
    </row>
    <row r="53" customFormat="false" ht="15" hidden="false" customHeight="false" outlineLevel="0" collapsed="false">
      <c r="A53" s="5" t="s">
        <v>109</v>
      </c>
      <c r="B53" s="5" t="s">
        <v>154</v>
      </c>
      <c r="C53" s="5" t="s">
        <v>135</v>
      </c>
      <c r="D53" s="5" t="s">
        <v>209</v>
      </c>
      <c r="E53" s="5" t="s">
        <v>137</v>
      </c>
      <c r="F53" s="5" t="s">
        <v>58</v>
      </c>
      <c r="G53" s="5" t="s">
        <v>138</v>
      </c>
      <c r="H53" s="5"/>
      <c r="I53" s="5" t="s">
        <v>74</v>
      </c>
      <c r="J53" s="5"/>
      <c r="K53" s="5"/>
      <c r="L53" s="5" t="n">
        <v>52</v>
      </c>
      <c r="M53" s="5"/>
    </row>
    <row r="54" customFormat="false" ht="15" hidden="false" customHeight="false" outlineLevel="0" collapsed="false">
      <c r="A54" s="5" t="s">
        <v>109</v>
      </c>
      <c r="B54" s="5" t="s">
        <v>154</v>
      </c>
      <c r="C54" s="5" t="s">
        <v>140</v>
      </c>
      <c r="D54" s="5" t="s">
        <v>210</v>
      </c>
      <c r="E54" s="5" t="s">
        <v>142</v>
      </c>
      <c r="F54" s="5" t="s">
        <v>58</v>
      </c>
      <c r="G54" s="5" t="s">
        <v>143</v>
      </c>
      <c r="H54" s="5"/>
      <c r="I54" s="5" t="s">
        <v>74</v>
      </c>
      <c r="J54" s="5"/>
      <c r="K54" s="5"/>
      <c r="L54" s="5" t="n">
        <v>53</v>
      </c>
      <c r="M54" s="5"/>
    </row>
    <row r="55" customFormat="false" ht="15" hidden="false" customHeight="false" outlineLevel="0" collapsed="false">
      <c r="A55" s="5" t="s">
        <v>109</v>
      </c>
      <c r="B55" s="5" t="s">
        <v>154</v>
      </c>
      <c r="C55" s="5" t="s">
        <v>145</v>
      </c>
      <c r="D55" s="5" t="s">
        <v>211</v>
      </c>
      <c r="E55" s="5" t="s">
        <v>147</v>
      </c>
      <c r="F55" s="5" t="s">
        <v>58</v>
      </c>
      <c r="G55" s="5" t="s">
        <v>148</v>
      </c>
      <c r="H55" s="5"/>
      <c r="I55" s="5" t="s">
        <v>74</v>
      </c>
      <c r="J55" s="5"/>
      <c r="K55" s="5"/>
      <c r="L55" s="5" t="n">
        <v>54</v>
      </c>
      <c r="M55" s="5"/>
    </row>
    <row r="56" customFormat="false" ht="23.85" hidden="false" customHeight="false" outlineLevel="0" collapsed="false">
      <c r="A56" s="5" t="s">
        <v>109</v>
      </c>
      <c r="B56" s="5" t="s">
        <v>164</v>
      </c>
      <c r="C56" s="5" t="s">
        <v>115</v>
      </c>
      <c r="D56" s="5" t="s">
        <v>212</v>
      </c>
      <c r="E56" s="5" t="s">
        <v>71</v>
      </c>
      <c r="F56" s="5" t="s">
        <v>58</v>
      </c>
      <c r="G56" s="5"/>
      <c r="H56" s="5"/>
      <c r="I56" s="5" t="s">
        <v>74</v>
      </c>
      <c r="J56" s="5"/>
      <c r="K56" s="5"/>
      <c r="L56" s="5" t="n">
        <v>55</v>
      </c>
      <c r="M56" s="5" t="s">
        <v>156</v>
      </c>
    </row>
    <row r="57" customFormat="false" ht="15" hidden="false" customHeight="false" outlineLevel="0" collapsed="false">
      <c r="A57" s="5" t="s">
        <v>109</v>
      </c>
      <c r="B57" s="5" t="s">
        <v>164</v>
      </c>
      <c r="C57" s="5" t="s">
        <v>119</v>
      </c>
      <c r="D57" s="5" t="s">
        <v>213</v>
      </c>
      <c r="E57" s="5" t="s">
        <v>71</v>
      </c>
      <c r="F57" s="5" t="s">
        <v>58</v>
      </c>
      <c r="G57" s="5"/>
      <c r="H57" s="5"/>
      <c r="I57" s="5" t="s">
        <v>74</v>
      </c>
      <c r="J57" s="5"/>
      <c r="K57" s="5"/>
      <c r="L57" s="5" t="n">
        <v>56</v>
      </c>
      <c r="M57" s="5"/>
    </row>
    <row r="58" customFormat="false" ht="15" hidden="false" customHeight="false" outlineLevel="0" collapsed="false">
      <c r="A58" s="5" t="s">
        <v>109</v>
      </c>
      <c r="B58" s="5" t="s">
        <v>164</v>
      </c>
      <c r="C58" s="5" t="s">
        <v>122</v>
      </c>
      <c r="D58" s="5" t="s">
        <v>214</v>
      </c>
      <c r="E58" s="5" t="s">
        <v>71</v>
      </c>
      <c r="F58" s="5" t="s">
        <v>58</v>
      </c>
      <c r="G58" s="5"/>
      <c r="H58" s="5"/>
      <c r="I58" s="5" t="s">
        <v>74</v>
      </c>
      <c r="J58" s="5"/>
      <c r="K58" s="5"/>
      <c r="L58" s="5" t="n">
        <v>57</v>
      </c>
      <c r="M58" s="5"/>
    </row>
    <row r="59" customFormat="false" ht="15" hidden="false" customHeight="false" outlineLevel="0" collapsed="false">
      <c r="A59" s="5" t="s">
        <v>109</v>
      </c>
      <c r="B59" s="5" t="s">
        <v>164</v>
      </c>
      <c r="C59" s="5" t="s">
        <v>126</v>
      </c>
      <c r="D59" s="5" t="s">
        <v>215</v>
      </c>
      <c r="E59" s="5" t="s">
        <v>71</v>
      </c>
      <c r="F59" s="5" t="s">
        <v>58</v>
      </c>
      <c r="G59" s="5"/>
      <c r="H59" s="5"/>
      <c r="I59" s="5" t="s">
        <v>74</v>
      </c>
      <c r="J59" s="5"/>
      <c r="K59" s="5"/>
      <c r="L59" s="5" t="n">
        <v>58</v>
      </c>
      <c r="M59" s="5"/>
    </row>
    <row r="60" customFormat="false" ht="15" hidden="false" customHeight="false" outlineLevel="0" collapsed="false">
      <c r="A60" s="5" t="s">
        <v>109</v>
      </c>
      <c r="B60" s="5" t="s">
        <v>164</v>
      </c>
      <c r="C60" s="5" t="s">
        <v>129</v>
      </c>
      <c r="D60" s="5" t="s">
        <v>216</v>
      </c>
      <c r="E60" s="5" t="s">
        <v>131</v>
      </c>
      <c r="F60" s="5" t="s">
        <v>58</v>
      </c>
      <c r="G60" s="5" t="s">
        <v>132</v>
      </c>
      <c r="H60" s="5"/>
      <c r="I60" s="5" t="s">
        <v>74</v>
      </c>
      <c r="J60" s="5" t="s">
        <v>133</v>
      </c>
      <c r="K60" s="5"/>
      <c r="L60" s="5" t="n">
        <v>59</v>
      </c>
      <c r="M60" s="5"/>
    </row>
    <row r="61" customFormat="false" ht="15" hidden="false" customHeight="false" outlineLevel="0" collapsed="false">
      <c r="A61" s="5" t="s">
        <v>109</v>
      </c>
      <c r="B61" s="5" t="s">
        <v>164</v>
      </c>
      <c r="C61" s="5" t="s">
        <v>135</v>
      </c>
      <c r="D61" s="5" t="s">
        <v>217</v>
      </c>
      <c r="E61" s="5" t="s">
        <v>137</v>
      </c>
      <c r="F61" s="5" t="s">
        <v>58</v>
      </c>
      <c r="G61" s="5" t="s">
        <v>138</v>
      </c>
      <c r="H61" s="5"/>
      <c r="I61" s="5" t="s">
        <v>74</v>
      </c>
      <c r="J61" s="5"/>
      <c r="K61" s="5"/>
      <c r="L61" s="5" t="n">
        <v>60</v>
      </c>
      <c r="M61" s="5"/>
    </row>
    <row r="62" customFormat="false" ht="15" hidden="false" customHeight="false" outlineLevel="0" collapsed="false">
      <c r="A62" s="5" t="s">
        <v>109</v>
      </c>
      <c r="B62" s="5" t="s">
        <v>164</v>
      </c>
      <c r="C62" s="5" t="s">
        <v>140</v>
      </c>
      <c r="D62" s="5" t="s">
        <v>218</v>
      </c>
      <c r="E62" s="5" t="s">
        <v>142</v>
      </c>
      <c r="F62" s="5" t="s">
        <v>58</v>
      </c>
      <c r="G62" s="5" t="s">
        <v>143</v>
      </c>
      <c r="H62" s="5"/>
      <c r="I62" s="5" t="s">
        <v>74</v>
      </c>
      <c r="J62" s="5"/>
      <c r="K62" s="5"/>
      <c r="L62" s="5" t="n">
        <v>61</v>
      </c>
      <c r="M62" s="5"/>
    </row>
    <row r="63" customFormat="false" ht="15" hidden="false" customHeight="false" outlineLevel="0" collapsed="false">
      <c r="A63" s="5" t="s">
        <v>109</v>
      </c>
      <c r="B63" s="5" t="s">
        <v>164</v>
      </c>
      <c r="C63" s="5" t="s">
        <v>145</v>
      </c>
      <c r="D63" s="5" t="s">
        <v>219</v>
      </c>
      <c r="E63" s="5" t="s">
        <v>147</v>
      </c>
      <c r="F63" s="5" t="s">
        <v>58</v>
      </c>
      <c r="G63" s="5" t="s">
        <v>148</v>
      </c>
      <c r="H63" s="5"/>
      <c r="I63" s="5" t="s">
        <v>74</v>
      </c>
      <c r="J63" s="5"/>
      <c r="K63" s="5"/>
      <c r="L63" s="5" t="n">
        <v>62</v>
      </c>
      <c r="M63" s="5"/>
    </row>
    <row r="64" customFormat="false" ht="23.85" hidden="false" customHeight="false" outlineLevel="0" collapsed="false">
      <c r="A64" s="5" t="s">
        <v>220</v>
      </c>
      <c r="B64" s="5" t="s">
        <v>221</v>
      </c>
      <c r="C64" s="5" t="s">
        <v>222</v>
      </c>
      <c r="D64" s="5" t="s">
        <v>223</v>
      </c>
      <c r="E64" s="5" t="s">
        <v>224</v>
      </c>
      <c r="F64" s="5" t="s">
        <v>56</v>
      </c>
      <c r="G64" s="5"/>
      <c r="H64" s="5" t="s">
        <v>225</v>
      </c>
      <c r="I64" s="5" t="s">
        <v>74</v>
      </c>
      <c r="J64" s="5"/>
      <c r="K64" s="5" t="s">
        <v>226</v>
      </c>
      <c r="L64" s="5" t="n">
        <v>63</v>
      </c>
      <c r="M64" s="5" t="s">
        <v>227</v>
      </c>
    </row>
    <row r="65" customFormat="false" ht="23.85" hidden="false" customHeight="false" outlineLevel="0" collapsed="false">
      <c r="A65" s="5" t="s">
        <v>220</v>
      </c>
      <c r="B65" s="5" t="s">
        <v>221</v>
      </c>
      <c r="C65" s="5" t="s">
        <v>228</v>
      </c>
      <c r="D65" s="5" t="s">
        <v>229</v>
      </c>
      <c r="E65" s="5" t="s">
        <v>71</v>
      </c>
      <c r="F65" s="5" t="s">
        <v>56</v>
      </c>
      <c r="G65" s="5" t="s">
        <v>230</v>
      </c>
      <c r="H65" s="5" t="s">
        <v>231</v>
      </c>
      <c r="I65" s="5" t="s">
        <v>74</v>
      </c>
      <c r="J65" s="5"/>
      <c r="K65" s="5" t="s">
        <v>232</v>
      </c>
      <c r="L65" s="5" t="n">
        <v>64</v>
      </c>
      <c r="M65" s="5" t="s">
        <v>233</v>
      </c>
    </row>
    <row r="66" customFormat="false" ht="15" hidden="false" customHeight="false" outlineLevel="0" collapsed="false">
      <c r="A66" s="5" t="s">
        <v>220</v>
      </c>
      <c r="B66" s="5" t="s">
        <v>221</v>
      </c>
      <c r="C66" s="5" t="s">
        <v>234</v>
      </c>
      <c r="D66" s="5" t="s">
        <v>235</v>
      </c>
      <c r="E66" s="5" t="s">
        <v>98</v>
      </c>
      <c r="F66" s="5" t="s">
        <v>56</v>
      </c>
      <c r="G66" s="5" t="s">
        <v>236</v>
      </c>
      <c r="H66" s="5" t="s">
        <v>231</v>
      </c>
      <c r="I66" s="5" t="s">
        <v>74</v>
      </c>
      <c r="J66" s="5"/>
      <c r="K66" s="5" t="s">
        <v>232</v>
      </c>
      <c r="L66" s="5" t="n">
        <v>65</v>
      </c>
      <c r="M66" s="5"/>
    </row>
    <row r="67" customFormat="false" ht="15" hidden="false" customHeight="false" outlineLevel="0" collapsed="false">
      <c r="A67" s="5" t="s">
        <v>220</v>
      </c>
      <c r="B67" s="5" t="s">
        <v>237</v>
      </c>
      <c r="C67" s="5" t="s">
        <v>238</v>
      </c>
      <c r="D67" s="5" t="s">
        <v>239</v>
      </c>
      <c r="E67" s="5" t="s">
        <v>240</v>
      </c>
      <c r="F67" s="5" t="s">
        <v>56</v>
      </c>
      <c r="G67" s="5" t="s">
        <v>241</v>
      </c>
      <c r="H67" s="5"/>
      <c r="I67" s="5" t="s">
        <v>74</v>
      </c>
      <c r="J67" s="5"/>
      <c r="K67" s="5"/>
      <c r="L67" s="5" t="n">
        <v>66</v>
      </c>
      <c r="M67" s="5"/>
    </row>
    <row r="68" customFormat="false" ht="23.85" hidden="false" customHeight="false" outlineLevel="0" collapsed="false">
      <c r="A68" s="5" t="s">
        <v>220</v>
      </c>
      <c r="B68" s="5" t="s">
        <v>237</v>
      </c>
      <c r="C68" s="5" t="s">
        <v>242</v>
      </c>
      <c r="D68" s="5" t="s">
        <v>243</v>
      </c>
      <c r="E68" s="5" t="s">
        <v>103</v>
      </c>
      <c r="F68" s="5" t="s">
        <v>56</v>
      </c>
      <c r="G68" s="5" t="s">
        <v>244</v>
      </c>
      <c r="H68" s="5" t="s">
        <v>245</v>
      </c>
      <c r="I68" s="5" t="s">
        <v>74</v>
      </c>
      <c r="J68" s="5"/>
      <c r="K68" s="5" t="s">
        <v>232</v>
      </c>
      <c r="L68" s="5" t="n">
        <v>67</v>
      </c>
      <c r="M68" s="5" t="s">
        <v>246</v>
      </c>
    </row>
    <row r="69" customFormat="false" ht="15" hidden="false" customHeight="false" outlineLevel="0" collapsed="false">
      <c r="A69" s="5" t="s">
        <v>220</v>
      </c>
      <c r="B69" s="5" t="s">
        <v>237</v>
      </c>
      <c r="C69" s="5" t="s">
        <v>247</v>
      </c>
      <c r="D69" s="5" t="s">
        <v>248</v>
      </c>
      <c r="E69" s="5" t="s">
        <v>240</v>
      </c>
      <c r="F69" s="5" t="s">
        <v>56</v>
      </c>
      <c r="G69" s="5" t="s">
        <v>249</v>
      </c>
      <c r="H69" s="5"/>
      <c r="I69" s="5" t="s">
        <v>74</v>
      </c>
      <c r="J69" s="5"/>
      <c r="K69" s="5"/>
      <c r="L69" s="5" t="n">
        <v>68</v>
      </c>
      <c r="M69" s="5"/>
    </row>
    <row r="70" customFormat="false" ht="23.85" hidden="false" customHeight="false" outlineLevel="0" collapsed="false">
      <c r="A70" s="5" t="s">
        <v>220</v>
      </c>
      <c r="B70" s="5" t="s">
        <v>237</v>
      </c>
      <c r="C70" s="5" t="s">
        <v>250</v>
      </c>
      <c r="D70" s="5" t="s">
        <v>251</v>
      </c>
      <c r="E70" s="5" t="s">
        <v>240</v>
      </c>
      <c r="F70" s="5" t="s">
        <v>58</v>
      </c>
      <c r="G70" s="5" t="s">
        <v>252</v>
      </c>
      <c r="H70" s="5" t="s">
        <v>253</v>
      </c>
      <c r="I70" s="5" t="s">
        <v>74</v>
      </c>
      <c r="J70" s="5"/>
      <c r="K70" s="5" t="s">
        <v>254</v>
      </c>
      <c r="L70" s="5" t="n">
        <v>69</v>
      </c>
      <c r="M70" s="5" t="s">
        <v>255</v>
      </c>
    </row>
    <row r="71" customFormat="false" ht="23.85" hidden="false" customHeight="false" outlineLevel="0" collapsed="false">
      <c r="A71" s="5" t="s">
        <v>220</v>
      </c>
      <c r="B71" s="5" t="s">
        <v>256</v>
      </c>
      <c r="C71" s="5" t="s">
        <v>257</v>
      </c>
      <c r="D71" s="5" t="s">
        <v>258</v>
      </c>
      <c r="E71" s="5" t="s">
        <v>259</v>
      </c>
      <c r="F71" s="5" t="s">
        <v>56</v>
      </c>
      <c r="G71" s="5" t="s">
        <v>260</v>
      </c>
      <c r="H71" s="5" t="s">
        <v>261</v>
      </c>
      <c r="I71" s="5" t="s">
        <v>59</v>
      </c>
      <c r="J71" s="5" t="s">
        <v>262</v>
      </c>
      <c r="K71" s="5" t="s">
        <v>232</v>
      </c>
      <c r="L71" s="5" t="n">
        <v>70</v>
      </c>
      <c r="M71" s="5" t="s">
        <v>263</v>
      </c>
    </row>
    <row r="72" customFormat="false" ht="23.85" hidden="false" customHeight="false" outlineLevel="0" collapsed="false">
      <c r="A72" s="5" t="s">
        <v>220</v>
      </c>
      <c r="B72" s="5" t="s">
        <v>256</v>
      </c>
      <c r="C72" s="5" t="s">
        <v>264</v>
      </c>
      <c r="D72" s="5" t="s">
        <v>265</v>
      </c>
      <c r="E72" s="5" t="s">
        <v>71</v>
      </c>
      <c r="F72" s="5" t="s">
        <v>266</v>
      </c>
      <c r="G72" s="5" t="s">
        <v>267</v>
      </c>
      <c r="H72" s="5"/>
      <c r="I72" s="5" t="s">
        <v>74</v>
      </c>
      <c r="J72" s="5"/>
      <c r="K72" s="5"/>
      <c r="L72" s="5" t="n">
        <v>71</v>
      </c>
      <c r="M72" s="5" t="s">
        <v>268</v>
      </c>
    </row>
    <row r="73" customFormat="false" ht="23.85" hidden="false" customHeight="false" outlineLevel="0" collapsed="false">
      <c r="A73" s="5" t="s">
        <v>220</v>
      </c>
      <c r="B73" s="5" t="s">
        <v>256</v>
      </c>
      <c r="C73" s="5" t="s">
        <v>269</v>
      </c>
      <c r="D73" s="5" t="s">
        <v>270</v>
      </c>
      <c r="E73" s="5" t="s">
        <v>84</v>
      </c>
      <c r="F73" s="5" t="s">
        <v>56</v>
      </c>
      <c r="G73" s="5" t="s">
        <v>85</v>
      </c>
      <c r="H73" s="5"/>
      <c r="I73" s="5" t="s">
        <v>74</v>
      </c>
      <c r="J73" s="5" t="s">
        <v>271</v>
      </c>
      <c r="K73" s="5"/>
      <c r="L73" s="5" t="n">
        <v>72</v>
      </c>
      <c r="M73" s="5" t="s">
        <v>272</v>
      </c>
    </row>
    <row r="74" customFormat="false" ht="23.85" hidden="false" customHeight="false" outlineLevel="0" collapsed="false">
      <c r="A74" s="5" t="s">
        <v>220</v>
      </c>
      <c r="B74" s="5" t="s">
        <v>256</v>
      </c>
      <c r="C74" s="5" t="s">
        <v>273</v>
      </c>
      <c r="D74" s="5" t="s">
        <v>274</v>
      </c>
      <c r="E74" s="5" t="s">
        <v>84</v>
      </c>
      <c r="F74" s="5" t="s">
        <v>58</v>
      </c>
      <c r="G74" s="5" t="s">
        <v>275</v>
      </c>
      <c r="H74" s="5" t="s">
        <v>276</v>
      </c>
      <c r="I74" s="5" t="s">
        <v>59</v>
      </c>
      <c r="J74" s="5" t="s">
        <v>277</v>
      </c>
      <c r="K74" s="5"/>
      <c r="L74" s="5" t="n">
        <v>73</v>
      </c>
      <c r="M74" s="5" t="s">
        <v>278</v>
      </c>
    </row>
    <row r="75" customFormat="false" ht="23.85" hidden="false" customHeight="false" outlineLevel="0" collapsed="false">
      <c r="A75" s="5" t="s">
        <v>220</v>
      </c>
      <c r="B75" s="5" t="s">
        <v>256</v>
      </c>
      <c r="C75" s="5" t="s">
        <v>279</v>
      </c>
      <c r="D75" s="5" t="s">
        <v>280</v>
      </c>
      <c r="E75" s="5" t="s">
        <v>84</v>
      </c>
      <c r="F75" s="5" t="s">
        <v>56</v>
      </c>
      <c r="G75" s="5" t="s">
        <v>281</v>
      </c>
      <c r="H75" s="5" t="s">
        <v>282</v>
      </c>
      <c r="I75" s="5" t="s">
        <v>59</v>
      </c>
      <c r="J75" s="5" t="s">
        <v>283</v>
      </c>
      <c r="K75" s="5" t="s">
        <v>232</v>
      </c>
      <c r="L75" s="5" t="n">
        <v>74</v>
      </c>
      <c r="M75" s="5" t="s">
        <v>284</v>
      </c>
    </row>
    <row r="76" customFormat="false" ht="23.85" hidden="false" customHeight="false" outlineLevel="0" collapsed="false">
      <c r="A76" s="5" t="s">
        <v>220</v>
      </c>
      <c r="B76" s="5" t="s">
        <v>256</v>
      </c>
      <c r="C76" s="5" t="s">
        <v>285</v>
      </c>
      <c r="D76" s="5" t="s">
        <v>286</v>
      </c>
      <c r="E76" s="5" t="s">
        <v>131</v>
      </c>
      <c r="F76" s="5" t="s">
        <v>56</v>
      </c>
      <c r="G76" s="5" t="s">
        <v>132</v>
      </c>
      <c r="H76" s="5" t="s">
        <v>287</v>
      </c>
      <c r="I76" s="5" t="s">
        <v>59</v>
      </c>
      <c r="J76" s="5" t="s">
        <v>133</v>
      </c>
      <c r="K76" s="5" t="s">
        <v>232</v>
      </c>
      <c r="L76" s="5" t="n">
        <v>75</v>
      </c>
      <c r="M76" s="5"/>
    </row>
    <row r="77" customFormat="false" ht="23.85" hidden="false" customHeight="false" outlineLevel="0" collapsed="false">
      <c r="A77" s="5" t="s">
        <v>288</v>
      </c>
      <c r="B77" s="5" t="s">
        <v>289</v>
      </c>
      <c r="C77" s="5" t="s">
        <v>290</v>
      </c>
      <c r="D77" s="5" t="s">
        <v>291</v>
      </c>
      <c r="E77" s="5" t="s">
        <v>103</v>
      </c>
      <c r="F77" s="5" t="s">
        <v>58</v>
      </c>
      <c r="G77" s="5" t="s">
        <v>292</v>
      </c>
      <c r="H77" s="5"/>
      <c r="I77" s="5" t="s">
        <v>74</v>
      </c>
      <c r="J77" s="5"/>
      <c r="K77" s="5"/>
      <c r="L77" s="5" t="n">
        <v>76</v>
      </c>
      <c r="M77" s="5" t="s">
        <v>293</v>
      </c>
    </row>
    <row r="78" customFormat="false" ht="23.85" hidden="false" customHeight="false" outlineLevel="0" collapsed="false">
      <c r="A78" s="5" t="s">
        <v>288</v>
      </c>
      <c r="B78" s="5" t="s">
        <v>294</v>
      </c>
      <c r="C78" s="5" t="s">
        <v>295</v>
      </c>
      <c r="D78" s="5" t="s">
        <v>296</v>
      </c>
      <c r="E78" s="5" t="s">
        <v>84</v>
      </c>
      <c r="F78" s="5" t="s">
        <v>56</v>
      </c>
      <c r="G78" s="5" t="s">
        <v>297</v>
      </c>
      <c r="H78" s="5" t="s">
        <v>298</v>
      </c>
      <c r="I78" s="5" t="s">
        <v>59</v>
      </c>
      <c r="J78" s="5" t="s">
        <v>299</v>
      </c>
      <c r="K78" s="5"/>
      <c r="L78" s="5" t="n">
        <v>77</v>
      </c>
      <c r="M78" s="5" t="s">
        <v>300</v>
      </c>
    </row>
    <row r="79" customFormat="false" ht="15" hidden="false" customHeight="false" outlineLevel="0" collapsed="false">
      <c r="A79" s="5" t="s">
        <v>288</v>
      </c>
      <c r="B79" s="5" t="s">
        <v>301</v>
      </c>
      <c r="C79" s="5" t="s">
        <v>302</v>
      </c>
      <c r="D79" s="5" t="s">
        <v>303</v>
      </c>
      <c r="E79" s="5" t="s">
        <v>55</v>
      </c>
      <c r="F79" s="5" t="s">
        <v>56</v>
      </c>
      <c r="G79" s="5" t="s">
        <v>304</v>
      </c>
      <c r="H79" s="5" t="s">
        <v>58</v>
      </c>
      <c r="I79" s="5" t="s">
        <v>59</v>
      </c>
      <c r="J79" s="5" t="s">
        <v>60</v>
      </c>
      <c r="K79" s="5"/>
      <c r="L79" s="5" t="n">
        <v>78</v>
      </c>
      <c r="M79" s="5" t="s">
        <v>305</v>
      </c>
    </row>
    <row r="80" customFormat="false" ht="23.85" hidden="false" customHeight="false" outlineLevel="0" collapsed="false">
      <c r="A80" s="5" t="s">
        <v>288</v>
      </c>
      <c r="B80" s="5" t="s">
        <v>306</v>
      </c>
      <c r="C80" s="5" t="s">
        <v>307</v>
      </c>
      <c r="D80" s="5" t="s">
        <v>308</v>
      </c>
      <c r="E80" s="5" t="s">
        <v>309</v>
      </c>
      <c r="F80" s="5" t="s">
        <v>310</v>
      </c>
      <c r="G80" s="5"/>
      <c r="H80" s="5" t="s">
        <v>311</v>
      </c>
      <c r="I80" s="5" t="s">
        <v>74</v>
      </c>
      <c r="J80" s="5"/>
      <c r="K80" s="5" t="s">
        <v>174</v>
      </c>
      <c r="L80" s="5" t="n">
        <v>79</v>
      </c>
      <c r="M80" s="5" t="s">
        <v>312</v>
      </c>
    </row>
    <row r="81" customFormat="false" ht="15" hidden="false" customHeight="false" outlineLevel="0" collapsed="false">
      <c r="A81" s="5" t="s">
        <v>288</v>
      </c>
      <c r="B81" s="5" t="s">
        <v>306</v>
      </c>
      <c r="C81" s="5" t="s">
        <v>313</v>
      </c>
      <c r="D81" s="5" t="s">
        <v>308</v>
      </c>
      <c r="E81" s="5" t="s">
        <v>309</v>
      </c>
      <c r="F81" s="5" t="s">
        <v>310</v>
      </c>
      <c r="G81" s="5"/>
      <c r="H81" s="5" t="s">
        <v>314</v>
      </c>
      <c r="I81" s="5" t="s">
        <v>74</v>
      </c>
      <c r="J81" s="5"/>
      <c r="K81" s="5"/>
      <c r="L81" s="5" t="n">
        <v>80</v>
      </c>
      <c r="M81" s="5" t="s">
        <v>315</v>
      </c>
    </row>
    <row r="82" customFormat="false" ht="15" hidden="false" customHeight="false" outlineLevel="0" collapsed="false">
      <c r="A82" s="5" t="s">
        <v>316</v>
      </c>
      <c r="B82" s="5" t="s">
        <v>317</v>
      </c>
      <c r="C82" s="5" t="s">
        <v>318</v>
      </c>
      <c r="D82" s="5" t="s">
        <v>319</v>
      </c>
      <c r="E82" s="5" t="s">
        <v>84</v>
      </c>
      <c r="F82" s="5" t="s">
        <v>58</v>
      </c>
      <c r="G82" s="5" t="s">
        <v>320</v>
      </c>
      <c r="H82" s="5"/>
      <c r="I82" s="5" t="s">
        <v>74</v>
      </c>
      <c r="J82" s="5" t="s">
        <v>319</v>
      </c>
      <c r="K82" s="5"/>
      <c r="L82" s="5" t="s">
        <v>310</v>
      </c>
      <c r="M82" s="5" t="s">
        <v>321</v>
      </c>
    </row>
    <row r="83" customFormat="false" ht="15" hidden="false" customHeight="false" outlineLevel="0" collapsed="false">
      <c r="A83" s="5" t="s">
        <v>316</v>
      </c>
      <c r="B83" s="5" t="s">
        <v>317</v>
      </c>
      <c r="C83" s="5" t="s">
        <v>318</v>
      </c>
      <c r="D83" s="5" t="s">
        <v>322</v>
      </c>
      <c r="E83" s="5" t="s">
        <v>84</v>
      </c>
      <c r="F83" s="5" t="s">
        <v>58</v>
      </c>
      <c r="G83" s="5" t="s">
        <v>320</v>
      </c>
      <c r="H83" s="5" t="s">
        <v>323</v>
      </c>
      <c r="I83" s="5" t="s">
        <v>74</v>
      </c>
      <c r="J83" s="5" t="s">
        <v>322</v>
      </c>
      <c r="K83" s="5" t="s">
        <v>323</v>
      </c>
      <c r="L83" s="5" t="s">
        <v>310</v>
      </c>
      <c r="M83" s="5" t="s">
        <v>321</v>
      </c>
    </row>
    <row r="84" customFormat="false" ht="15" hidden="false" customHeight="false" outlineLevel="0" collapsed="false">
      <c r="A84" s="5" t="s">
        <v>324</v>
      </c>
      <c r="B84" s="5" t="s">
        <v>325</v>
      </c>
      <c r="C84" s="5" t="s">
        <v>326</v>
      </c>
      <c r="D84" s="5" t="s">
        <v>327</v>
      </c>
      <c r="E84" s="5" t="s">
        <v>71</v>
      </c>
      <c r="F84" s="5" t="s">
        <v>328</v>
      </c>
      <c r="G84" s="5" t="s">
        <v>329</v>
      </c>
      <c r="H84" s="5"/>
      <c r="I84" s="5" t="s">
        <v>74</v>
      </c>
      <c r="J84" s="5"/>
      <c r="K84" s="5"/>
      <c r="L84" s="5" t="s">
        <v>310</v>
      </c>
      <c r="M84" s="5" t="s">
        <v>330</v>
      </c>
    </row>
    <row r="85" customFormat="false" ht="15" hidden="false" customHeight="false" outlineLevel="0" collapsed="false">
      <c r="A85" s="5" t="s">
        <v>324</v>
      </c>
      <c r="B85" s="5" t="s">
        <v>325</v>
      </c>
      <c r="C85" s="5" t="s">
        <v>331</v>
      </c>
      <c r="D85" s="5" t="s">
        <v>332</v>
      </c>
      <c r="E85" s="5" t="s">
        <v>103</v>
      </c>
      <c r="F85" s="5" t="s">
        <v>328</v>
      </c>
      <c r="G85" s="5" t="s">
        <v>333</v>
      </c>
      <c r="H85" s="5"/>
      <c r="I85" s="5" t="s">
        <v>74</v>
      </c>
      <c r="J85" s="5"/>
      <c r="K85" s="5"/>
      <c r="L85" s="5" t="s">
        <v>310</v>
      </c>
      <c r="M85" s="5" t="s">
        <v>334</v>
      </c>
    </row>
    <row r="86" customFormat="false" ht="23.85" hidden="false" customHeight="false" outlineLevel="0" collapsed="false">
      <c r="A86" s="5" t="s">
        <v>324</v>
      </c>
      <c r="B86" s="5" t="s">
        <v>335</v>
      </c>
      <c r="C86" s="5" t="s">
        <v>318</v>
      </c>
      <c r="D86" s="5" t="s">
        <v>336</v>
      </c>
      <c r="E86" s="5" t="s">
        <v>84</v>
      </c>
      <c r="F86" s="5" t="s">
        <v>337</v>
      </c>
      <c r="G86" s="5" t="s">
        <v>338</v>
      </c>
      <c r="H86" s="5"/>
      <c r="I86" s="5" t="s">
        <v>74</v>
      </c>
      <c r="J86" s="5" t="s">
        <v>336</v>
      </c>
      <c r="K86" s="5"/>
      <c r="L86" s="5" t="s">
        <v>310</v>
      </c>
      <c r="M86" s="5" t="s">
        <v>339</v>
      </c>
    </row>
  </sheetData>
  <autoFilter ref="A1:M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40"/>
    <col collapsed="false" customWidth="true" hidden="false" outlineLevel="0" max="4" min="4" style="0" width="70"/>
    <col collapsed="false" customWidth="true" hidden="false" outlineLevel="0" max="5" min="5" style="0" width="14"/>
    <col collapsed="false" customWidth="true" hidden="false" outlineLevel="0" max="6" min="6" style="0" width="16"/>
    <col collapsed="false" customWidth="true" hidden="false" outlineLevel="0" max="7" min="7" style="0" width="10"/>
  </cols>
  <sheetData>
    <row r="1" customFormat="false" ht="30" hidden="false" customHeight="true" outlineLevel="0" collapsed="false">
      <c r="A1" s="4" t="s">
        <v>340</v>
      </c>
      <c r="B1" s="4" t="s">
        <v>341</v>
      </c>
      <c r="C1" s="4" t="s">
        <v>342</v>
      </c>
      <c r="D1" s="4" t="s">
        <v>343</v>
      </c>
      <c r="E1" s="4" t="s">
        <v>344</v>
      </c>
      <c r="F1" s="4" t="s">
        <v>345</v>
      </c>
      <c r="G1" s="4" t="s">
        <v>346</v>
      </c>
    </row>
    <row r="2" customFormat="false" ht="15" hidden="false" customHeight="false" outlineLevel="0" collapsed="false">
      <c r="A2" s="5" t="s">
        <v>347</v>
      </c>
      <c r="B2" s="5" t="s">
        <v>56</v>
      </c>
      <c r="C2" s="5"/>
      <c r="D2" s="5"/>
      <c r="E2" s="5" t="n">
        <v>0</v>
      </c>
      <c r="F2" s="5" t="s">
        <v>348</v>
      </c>
      <c r="G2" s="5" t="s">
        <v>349</v>
      </c>
    </row>
    <row r="3" customFormat="false" ht="35.05" hidden="false" customHeight="false" outlineLevel="0" collapsed="false">
      <c r="A3" s="5" t="s">
        <v>347</v>
      </c>
      <c r="B3" s="5" t="s">
        <v>58</v>
      </c>
      <c r="C3" s="5"/>
      <c r="D3" s="5"/>
      <c r="E3" s="5" t="s">
        <v>350</v>
      </c>
      <c r="F3" s="5" t="s">
        <v>348</v>
      </c>
      <c r="G3" s="5" t="s">
        <v>349</v>
      </c>
    </row>
    <row r="4" customFormat="false" ht="15" hidden="false" customHeight="false" outlineLevel="0" collapsed="false">
      <c r="A4" s="5" t="s">
        <v>351</v>
      </c>
      <c r="B4" s="5" t="s">
        <v>352</v>
      </c>
      <c r="C4" s="5"/>
      <c r="D4" s="5"/>
      <c r="E4" s="5" t="n">
        <v>0</v>
      </c>
      <c r="F4" s="5" t="s">
        <v>348</v>
      </c>
      <c r="G4" s="5" t="s">
        <v>349</v>
      </c>
    </row>
    <row r="5" customFormat="false" ht="15" hidden="false" customHeight="false" outlineLevel="0" collapsed="false">
      <c r="A5" s="5" t="s">
        <v>351</v>
      </c>
      <c r="B5" s="5" t="s">
        <v>353</v>
      </c>
      <c r="C5" s="5"/>
      <c r="D5" s="5"/>
      <c r="E5" s="5" t="n">
        <v>0</v>
      </c>
      <c r="F5" s="5" t="s">
        <v>348</v>
      </c>
      <c r="G5" s="5" t="s">
        <v>349</v>
      </c>
    </row>
    <row r="6" customFormat="false" ht="23.85" hidden="false" customHeight="false" outlineLevel="0" collapsed="false">
      <c r="A6" s="5" t="s">
        <v>351</v>
      </c>
      <c r="B6" s="5" t="s">
        <v>354</v>
      </c>
      <c r="C6" s="5"/>
      <c r="D6" s="5"/>
      <c r="E6" s="5" t="n">
        <v>0</v>
      </c>
      <c r="F6" s="5" t="s">
        <v>348</v>
      </c>
      <c r="G6" s="5" t="s">
        <v>349</v>
      </c>
    </row>
    <row r="7" customFormat="false" ht="15" hidden="false" customHeight="false" outlineLevel="0" collapsed="false">
      <c r="A7" s="5" t="s">
        <v>351</v>
      </c>
      <c r="B7" s="5" t="s">
        <v>355</v>
      </c>
      <c r="C7" s="5"/>
      <c r="D7" s="5"/>
      <c r="E7" s="5" t="n">
        <v>1</v>
      </c>
      <c r="F7" s="5" t="s">
        <v>348</v>
      </c>
      <c r="G7" s="5" t="s">
        <v>349</v>
      </c>
    </row>
    <row r="8" customFormat="false" ht="15" hidden="false" customHeight="false" outlineLevel="0" collapsed="false">
      <c r="A8" s="5" t="s">
        <v>351</v>
      </c>
      <c r="B8" s="5" t="s">
        <v>356</v>
      </c>
      <c r="C8" s="5"/>
      <c r="D8" s="5"/>
      <c r="E8" s="5" t="n">
        <v>3</v>
      </c>
      <c r="F8" s="5" t="s">
        <v>348</v>
      </c>
      <c r="G8" s="5" t="s">
        <v>349</v>
      </c>
    </row>
    <row r="9" customFormat="false" ht="15" hidden="false" customHeight="false" outlineLevel="0" collapsed="false">
      <c r="A9" s="5" t="s">
        <v>351</v>
      </c>
      <c r="B9" s="5" t="s">
        <v>357</v>
      </c>
      <c r="C9" s="5"/>
      <c r="D9" s="5"/>
      <c r="E9" s="5" t="n">
        <v>0</v>
      </c>
      <c r="F9" s="5" t="s">
        <v>348</v>
      </c>
      <c r="G9" s="5" t="s">
        <v>349</v>
      </c>
    </row>
    <row r="10" customFormat="false" ht="15" hidden="false" customHeight="false" outlineLevel="0" collapsed="false">
      <c r="A10" s="5" t="s">
        <v>358</v>
      </c>
      <c r="B10" s="5" t="s">
        <v>352</v>
      </c>
      <c r="C10" s="5"/>
      <c r="D10" s="5"/>
      <c r="E10" s="5" t="n">
        <v>0</v>
      </c>
      <c r="F10" s="5" t="s">
        <v>348</v>
      </c>
      <c r="G10" s="5" t="s">
        <v>349</v>
      </c>
    </row>
    <row r="11" customFormat="false" ht="15" hidden="false" customHeight="false" outlineLevel="0" collapsed="false">
      <c r="A11" s="5" t="s">
        <v>358</v>
      </c>
      <c r="B11" s="5" t="s">
        <v>353</v>
      </c>
      <c r="C11" s="5"/>
      <c r="D11" s="5"/>
      <c r="E11" s="5" t="n">
        <v>0</v>
      </c>
      <c r="F11" s="5" t="s">
        <v>348</v>
      </c>
      <c r="G11" s="5" t="s">
        <v>349</v>
      </c>
    </row>
    <row r="12" customFormat="false" ht="23.85" hidden="false" customHeight="false" outlineLevel="0" collapsed="false">
      <c r="A12" s="5" t="s">
        <v>358</v>
      </c>
      <c r="B12" s="5" t="s">
        <v>354</v>
      </c>
      <c r="C12" s="5"/>
      <c r="D12" s="5"/>
      <c r="E12" s="5" t="n">
        <v>0</v>
      </c>
      <c r="F12" s="5" t="s">
        <v>348</v>
      </c>
      <c r="G12" s="5" t="s">
        <v>349</v>
      </c>
    </row>
    <row r="13" customFormat="false" ht="15" hidden="false" customHeight="false" outlineLevel="0" collapsed="false">
      <c r="A13" s="5" t="s">
        <v>359</v>
      </c>
      <c r="B13" s="5" t="s">
        <v>355</v>
      </c>
      <c r="C13" s="5"/>
      <c r="D13" s="5"/>
      <c r="E13" s="5" t="n">
        <v>1</v>
      </c>
      <c r="F13" s="5" t="s">
        <v>348</v>
      </c>
      <c r="G13" s="5" t="s">
        <v>349</v>
      </c>
    </row>
    <row r="14" customFormat="false" ht="15" hidden="false" customHeight="false" outlineLevel="0" collapsed="false">
      <c r="A14" s="5" t="s">
        <v>359</v>
      </c>
      <c r="B14" s="5" t="s">
        <v>356</v>
      </c>
      <c r="C14" s="5"/>
      <c r="D14" s="5"/>
      <c r="E14" s="5" t="n">
        <v>3</v>
      </c>
      <c r="F14" s="5" t="s">
        <v>348</v>
      </c>
      <c r="G14" s="5" t="s">
        <v>349</v>
      </c>
    </row>
    <row r="15" customFormat="false" ht="15" hidden="false" customHeight="false" outlineLevel="0" collapsed="false">
      <c r="A15" s="5" t="s">
        <v>359</v>
      </c>
      <c r="B15" s="5" t="s">
        <v>357</v>
      </c>
      <c r="C15" s="5"/>
      <c r="D15" s="5"/>
      <c r="E15" s="5" t="n">
        <v>0</v>
      </c>
      <c r="F15" s="5" t="s">
        <v>348</v>
      </c>
      <c r="G15" s="5" t="s">
        <v>349</v>
      </c>
    </row>
    <row r="16" customFormat="false" ht="15" hidden="false" customHeight="false" outlineLevel="0" collapsed="false">
      <c r="A16" s="5" t="s">
        <v>360</v>
      </c>
      <c r="B16" s="5" t="s">
        <v>261</v>
      </c>
      <c r="C16" s="5"/>
      <c r="D16" s="5"/>
      <c r="E16" s="5" t="n">
        <v>35</v>
      </c>
      <c r="F16" s="5" t="s">
        <v>348</v>
      </c>
      <c r="G16" s="5" t="s">
        <v>349</v>
      </c>
    </row>
    <row r="17" customFormat="false" ht="15" hidden="false" customHeight="false" outlineLevel="0" collapsed="false">
      <c r="A17" s="5" t="s">
        <v>360</v>
      </c>
      <c r="B17" s="5" t="s">
        <v>361</v>
      </c>
      <c r="C17" s="5"/>
      <c r="D17" s="5"/>
      <c r="E17" s="5" t="n">
        <v>0</v>
      </c>
      <c r="F17" s="5" t="s">
        <v>348</v>
      </c>
      <c r="G17" s="5" t="s">
        <v>349</v>
      </c>
    </row>
    <row r="18" customFormat="false" ht="15" hidden="false" customHeight="false" outlineLevel="0" collapsed="false">
      <c r="A18" s="5" t="s">
        <v>360</v>
      </c>
      <c r="B18" s="5" t="s">
        <v>362</v>
      </c>
      <c r="C18" s="5"/>
      <c r="D18" s="5"/>
      <c r="E18" s="5" t="n">
        <v>0</v>
      </c>
      <c r="F18" s="5" t="s">
        <v>348</v>
      </c>
      <c r="G18" s="5" t="s">
        <v>349</v>
      </c>
    </row>
    <row r="19" customFormat="false" ht="15" hidden="false" customHeight="false" outlineLevel="0" collapsed="false">
      <c r="A19" s="5" t="s">
        <v>360</v>
      </c>
      <c r="B19" s="5" t="s">
        <v>363</v>
      </c>
      <c r="C19" s="5"/>
      <c r="D19" s="5"/>
      <c r="E19" s="5" t="n">
        <v>0</v>
      </c>
      <c r="F19" s="5" t="s">
        <v>348</v>
      </c>
      <c r="G19" s="5" t="s">
        <v>349</v>
      </c>
    </row>
    <row r="20" customFormat="false" ht="23.85" hidden="false" customHeight="false" outlineLevel="0" collapsed="false">
      <c r="A20" s="5" t="s">
        <v>360</v>
      </c>
      <c r="B20" s="5" t="s">
        <v>364</v>
      </c>
      <c r="C20" s="5"/>
      <c r="D20" s="5"/>
      <c r="E20" s="5" t="n">
        <v>0</v>
      </c>
      <c r="F20" s="5" t="s">
        <v>348</v>
      </c>
      <c r="G20" s="5" t="s">
        <v>349</v>
      </c>
    </row>
    <row r="21" customFormat="false" ht="15" hidden="false" customHeight="false" outlineLevel="0" collapsed="false">
      <c r="A21" s="5" t="s">
        <v>360</v>
      </c>
      <c r="B21" s="5" t="s">
        <v>365</v>
      </c>
      <c r="C21" s="5"/>
      <c r="D21" s="5"/>
      <c r="E21" s="5" t="n">
        <v>0</v>
      </c>
      <c r="F21" s="5" t="s">
        <v>348</v>
      </c>
      <c r="G21" s="5" t="s">
        <v>349</v>
      </c>
    </row>
    <row r="22" customFormat="false" ht="15" hidden="false" customHeight="false" outlineLevel="0" collapsed="false">
      <c r="A22" s="5" t="s">
        <v>360</v>
      </c>
      <c r="B22" s="5" t="s">
        <v>264</v>
      </c>
      <c r="C22" s="5"/>
      <c r="D22" s="5"/>
      <c r="E22" s="5" t="n">
        <v>0</v>
      </c>
      <c r="F22" s="5" t="s">
        <v>348</v>
      </c>
      <c r="G22" s="5" t="s">
        <v>349</v>
      </c>
    </row>
    <row r="23" customFormat="false" ht="15" hidden="false" customHeight="false" outlineLevel="0" collapsed="false">
      <c r="A23" s="5" t="s">
        <v>366</v>
      </c>
      <c r="B23" s="5" t="s">
        <v>367</v>
      </c>
      <c r="C23" s="5"/>
      <c r="D23" s="5"/>
      <c r="E23" s="5" t="n">
        <v>1</v>
      </c>
      <c r="F23" s="5" t="s">
        <v>368</v>
      </c>
      <c r="G23" s="5" t="s">
        <v>349</v>
      </c>
    </row>
    <row r="24" customFormat="false" ht="15" hidden="false" customHeight="false" outlineLevel="0" collapsed="false">
      <c r="A24" s="5" t="s">
        <v>366</v>
      </c>
      <c r="B24" s="5" t="s">
        <v>92</v>
      </c>
      <c r="C24" s="5"/>
      <c r="D24" s="5"/>
      <c r="E24" s="5" t="n">
        <v>3</v>
      </c>
      <c r="F24" s="5" t="s">
        <v>368</v>
      </c>
      <c r="G24" s="5" t="s">
        <v>349</v>
      </c>
    </row>
    <row r="25" customFormat="false" ht="15" hidden="false" customHeight="false" outlineLevel="0" collapsed="false">
      <c r="A25" s="5" t="s">
        <v>366</v>
      </c>
      <c r="B25" s="5" t="s">
        <v>369</v>
      </c>
      <c r="C25" s="5"/>
      <c r="D25" s="5"/>
      <c r="E25" s="5" t="n">
        <v>0</v>
      </c>
      <c r="F25" s="5" t="s">
        <v>368</v>
      </c>
      <c r="G25" s="5" t="s">
        <v>349</v>
      </c>
    </row>
    <row r="26" customFormat="false" ht="15" hidden="false" customHeight="false" outlineLevel="0" collapsed="false">
      <c r="A26" s="5" t="s">
        <v>133</v>
      </c>
      <c r="B26" s="5" t="s">
        <v>370</v>
      </c>
      <c r="C26" s="5"/>
      <c r="D26" s="5"/>
      <c r="E26" s="5" t="n">
        <v>0</v>
      </c>
      <c r="F26" s="5" t="s">
        <v>371</v>
      </c>
      <c r="G26" s="5" t="s">
        <v>349</v>
      </c>
    </row>
    <row r="27" customFormat="false" ht="15" hidden="false" customHeight="false" outlineLevel="0" collapsed="false">
      <c r="A27" s="5" t="s">
        <v>133</v>
      </c>
      <c r="B27" s="5" t="s">
        <v>372</v>
      </c>
      <c r="C27" s="5"/>
      <c r="D27" s="5"/>
      <c r="E27" s="5" t="n">
        <v>0</v>
      </c>
      <c r="F27" s="5" t="s">
        <v>371</v>
      </c>
      <c r="G27" s="5" t="s">
        <v>349</v>
      </c>
    </row>
    <row r="28" customFormat="false" ht="15" hidden="false" customHeight="false" outlineLevel="0" collapsed="false">
      <c r="A28" s="5" t="s">
        <v>133</v>
      </c>
      <c r="B28" s="5" t="s">
        <v>373</v>
      </c>
      <c r="C28" s="5"/>
      <c r="D28" s="5"/>
      <c r="E28" s="5" t="n">
        <v>0</v>
      </c>
      <c r="F28" s="5" t="s">
        <v>371</v>
      </c>
      <c r="G28" s="5" t="s">
        <v>349</v>
      </c>
    </row>
    <row r="29" customFormat="false" ht="15" hidden="false" customHeight="false" outlineLevel="0" collapsed="false">
      <c r="A29" s="5" t="s">
        <v>133</v>
      </c>
      <c r="B29" s="5" t="s">
        <v>374</v>
      </c>
      <c r="C29" s="5"/>
      <c r="D29" s="5"/>
      <c r="E29" s="5" t="n">
        <v>0</v>
      </c>
      <c r="F29" s="5" t="s">
        <v>371</v>
      </c>
      <c r="G29" s="5" t="s">
        <v>349</v>
      </c>
    </row>
    <row r="30" customFormat="false" ht="15" hidden="false" customHeight="false" outlineLevel="0" collapsed="false">
      <c r="A30" s="5" t="s">
        <v>133</v>
      </c>
      <c r="B30" s="5" t="s">
        <v>375</v>
      </c>
      <c r="C30" s="5"/>
      <c r="D30" s="5"/>
      <c r="E30" s="5" t="n">
        <v>0</v>
      </c>
      <c r="F30" s="5" t="s">
        <v>371</v>
      </c>
      <c r="G30" s="5" t="s">
        <v>349</v>
      </c>
    </row>
    <row r="31" customFormat="false" ht="15" hidden="false" customHeight="false" outlineLevel="0" collapsed="false">
      <c r="A31" s="5" t="s">
        <v>133</v>
      </c>
      <c r="B31" s="5" t="s">
        <v>376</v>
      </c>
      <c r="C31" s="5"/>
      <c r="D31" s="5"/>
      <c r="E31" s="5" t="n">
        <v>0</v>
      </c>
      <c r="F31" s="5" t="s">
        <v>371</v>
      </c>
      <c r="G31" s="5" t="s">
        <v>349</v>
      </c>
    </row>
    <row r="32" customFormat="false" ht="15" hidden="false" customHeight="false" outlineLevel="0" collapsed="false">
      <c r="A32" s="5" t="s">
        <v>133</v>
      </c>
      <c r="B32" s="5" t="s">
        <v>377</v>
      </c>
      <c r="C32" s="5"/>
      <c r="D32" s="5"/>
      <c r="E32" s="5" t="n">
        <v>0</v>
      </c>
      <c r="F32" s="5" t="s">
        <v>371</v>
      </c>
      <c r="G32" s="5" t="s">
        <v>349</v>
      </c>
    </row>
    <row r="33" customFormat="false" ht="15" hidden="false" customHeight="false" outlineLevel="0" collapsed="false">
      <c r="A33" s="5" t="s">
        <v>133</v>
      </c>
      <c r="B33" s="5" t="s">
        <v>378</v>
      </c>
      <c r="C33" s="5"/>
      <c r="D33" s="5"/>
      <c r="E33" s="5" t="n">
        <v>0</v>
      </c>
      <c r="F33" s="5" t="s">
        <v>371</v>
      </c>
      <c r="G33" s="5" t="s">
        <v>349</v>
      </c>
    </row>
    <row r="34" customFormat="false" ht="15" hidden="false" customHeight="false" outlineLevel="0" collapsed="false">
      <c r="A34" s="5" t="s">
        <v>133</v>
      </c>
      <c r="B34" s="5" t="s">
        <v>379</v>
      </c>
      <c r="C34" s="5"/>
      <c r="D34" s="5"/>
      <c r="E34" s="5" t="n">
        <v>0</v>
      </c>
      <c r="F34" s="5" t="s">
        <v>371</v>
      </c>
      <c r="G34" s="5" t="s">
        <v>349</v>
      </c>
    </row>
    <row r="35" customFormat="false" ht="15" hidden="false" customHeight="false" outlineLevel="0" collapsed="false">
      <c r="A35" s="5" t="s">
        <v>133</v>
      </c>
      <c r="B35" s="5" t="s">
        <v>380</v>
      </c>
      <c r="C35" s="5"/>
      <c r="D35" s="5"/>
      <c r="E35" s="5" t="n">
        <v>0</v>
      </c>
      <c r="F35" s="5" t="s">
        <v>371</v>
      </c>
      <c r="G35" s="5" t="s">
        <v>349</v>
      </c>
    </row>
    <row r="36" customFormat="false" ht="15" hidden="false" customHeight="false" outlineLevel="0" collapsed="false">
      <c r="A36" s="5" t="s">
        <v>133</v>
      </c>
      <c r="B36" s="5" t="s">
        <v>381</v>
      </c>
      <c r="C36" s="5"/>
      <c r="D36" s="5"/>
      <c r="E36" s="5" t="n">
        <v>0</v>
      </c>
      <c r="F36" s="5" t="s">
        <v>371</v>
      </c>
      <c r="G36" s="5" t="s">
        <v>349</v>
      </c>
    </row>
    <row r="37" customFormat="false" ht="15" hidden="false" customHeight="false" outlineLevel="0" collapsed="false">
      <c r="A37" s="5" t="s">
        <v>133</v>
      </c>
      <c r="B37" s="5" t="s">
        <v>382</v>
      </c>
      <c r="C37" s="5"/>
      <c r="D37" s="5"/>
      <c r="E37" s="5" t="n">
        <v>0</v>
      </c>
      <c r="F37" s="5" t="s">
        <v>371</v>
      </c>
      <c r="G37" s="5" t="s">
        <v>349</v>
      </c>
    </row>
    <row r="38" customFormat="false" ht="15" hidden="false" customHeight="false" outlineLevel="0" collapsed="false">
      <c r="A38" s="5" t="s">
        <v>133</v>
      </c>
      <c r="B38" s="5" t="s">
        <v>383</v>
      </c>
      <c r="C38" s="5"/>
      <c r="D38" s="5"/>
      <c r="E38" s="5" t="n">
        <v>0</v>
      </c>
      <c r="F38" s="5" t="s">
        <v>371</v>
      </c>
      <c r="G38" s="5" t="s">
        <v>349</v>
      </c>
    </row>
    <row r="39" customFormat="false" ht="15" hidden="false" customHeight="false" outlineLevel="0" collapsed="false">
      <c r="A39" s="5" t="s">
        <v>133</v>
      </c>
      <c r="B39" s="5" t="s">
        <v>384</v>
      </c>
      <c r="C39" s="5"/>
      <c r="D39" s="5"/>
      <c r="E39" s="5" t="n">
        <v>0</v>
      </c>
      <c r="F39" s="5" t="s">
        <v>371</v>
      </c>
      <c r="G39" s="5" t="s">
        <v>349</v>
      </c>
    </row>
    <row r="40" customFormat="false" ht="15" hidden="false" customHeight="false" outlineLevel="0" collapsed="false">
      <c r="A40" s="5" t="s">
        <v>133</v>
      </c>
      <c r="B40" s="5" t="s">
        <v>385</v>
      </c>
      <c r="C40" s="5"/>
      <c r="D40" s="5"/>
      <c r="E40" s="5" t="n">
        <v>0</v>
      </c>
      <c r="F40" s="5" t="s">
        <v>371</v>
      </c>
      <c r="G40" s="5" t="s">
        <v>349</v>
      </c>
    </row>
    <row r="41" customFormat="false" ht="15" hidden="false" customHeight="false" outlineLevel="0" collapsed="false">
      <c r="A41" s="5" t="s">
        <v>133</v>
      </c>
      <c r="B41" s="5" t="s">
        <v>386</v>
      </c>
      <c r="C41" s="5"/>
      <c r="D41" s="5"/>
      <c r="E41" s="5" t="n">
        <v>0</v>
      </c>
      <c r="F41" s="5" t="s">
        <v>371</v>
      </c>
      <c r="G41" s="5" t="s">
        <v>349</v>
      </c>
    </row>
    <row r="42" customFormat="false" ht="15" hidden="false" customHeight="false" outlineLevel="0" collapsed="false">
      <c r="A42" s="5" t="s">
        <v>133</v>
      </c>
      <c r="B42" s="5" t="s">
        <v>387</v>
      </c>
      <c r="C42" s="5"/>
      <c r="D42" s="5"/>
      <c r="E42" s="5" t="n">
        <v>0</v>
      </c>
      <c r="F42" s="5" t="s">
        <v>371</v>
      </c>
      <c r="G42" s="5" t="s">
        <v>349</v>
      </c>
    </row>
    <row r="43" customFormat="false" ht="15" hidden="false" customHeight="false" outlineLevel="0" collapsed="false">
      <c r="A43" s="5" t="s">
        <v>133</v>
      </c>
      <c r="B43" s="5" t="s">
        <v>388</v>
      </c>
      <c r="C43" s="5"/>
      <c r="D43" s="5"/>
      <c r="E43" s="5" t="n">
        <v>0</v>
      </c>
      <c r="F43" s="5" t="s">
        <v>371</v>
      </c>
      <c r="G43" s="5" t="s">
        <v>349</v>
      </c>
    </row>
    <row r="44" customFormat="false" ht="15" hidden="false" customHeight="false" outlineLevel="0" collapsed="false">
      <c r="A44" s="5" t="s">
        <v>133</v>
      </c>
      <c r="B44" s="5" t="s">
        <v>389</v>
      </c>
      <c r="C44" s="5"/>
      <c r="D44" s="5"/>
      <c r="E44" s="5" t="n">
        <v>0</v>
      </c>
      <c r="F44" s="5" t="s">
        <v>371</v>
      </c>
      <c r="G44" s="5" t="s">
        <v>349</v>
      </c>
    </row>
    <row r="45" customFormat="false" ht="15" hidden="false" customHeight="false" outlineLevel="0" collapsed="false">
      <c r="A45" s="5" t="s">
        <v>133</v>
      </c>
      <c r="B45" s="5" t="s">
        <v>390</v>
      </c>
      <c r="C45" s="5"/>
      <c r="D45" s="5"/>
      <c r="E45" s="5" t="n">
        <v>0</v>
      </c>
      <c r="F45" s="5" t="s">
        <v>371</v>
      </c>
      <c r="G45" s="5" t="s">
        <v>349</v>
      </c>
    </row>
    <row r="46" customFormat="false" ht="15" hidden="false" customHeight="false" outlineLevel="0" collapsed="false">
      <c r="A46" s="5" t="s">
        <v>133</v>
      </c>
      <c r="B46" s="5" t="s">
        <v>391</v>
      </c>
      <c r="C46" s="5"/>
      <c r="D46" s="5"/>
      <c r="E46" s="5" t="n">
        <v>0</v>
      </c>
      <c r="F46" s="5" t="s">
        <v>371</v>
      </c>
      <c r="G46" s="5" t="s">
        <v>349</v>
      </c>
    </row>
    <row r="47" customFormat="false" ht="15" hidden="false" customHeight="false" outlineLevel="0" collapsed="false">
      <c r="A47" s="5" t="s">
        <v>133</v>
      </c>
      <c r="B47" s="5" t="s">
        <v>392</v>
      </c>
      <c r="C47" s="5"/>
      <c r="D47" s="5"/>
      <c r="E47" s="5" t="n">
        <v>0</v>
      </c>
      <c r="F47" s="5" t="s">
        <v>371</v>
      </c>
      <c r="G47" s="5" t="s">
        <v>349</v>
      </c>
    </row>
    <row r="48" customFormat="false" ht="15" hidden="false" customHeight="false" outlineLevel="0" collapsed="false">
      <c r="A48" s="5" t="s">
        <v>133</v>
      </c>
      <c r="B48" s="5" t="s">
        <v>393</v>
      </c>
      <c r="C48" s="5"/>
      <c r="D48" s="5"/>
      <c r="E48" s="5" t="n">
        <v>0</v>
      </c>
      <c r="F48" s="5" t="s">
        <v>371</v>
      </c>
      <c r="G48" s="5" t="s">
        <v>349</v>
      </c>
    </row>
    <row r="49" customFormat="false" ht="15" hidden="false" customHeight="false" outlineLevel="0" collapsed="false">
      <c r="A49" s="5" t="s">
        <v>133</v>
      </c>
      <c r="B49" s="5" t="s">
        <v>394</v>
      </c>
      <c r="C49" s="5"/>
      <c r="D49" s="5"/>
      <c r="E49" s="5" t="n">
        <v>0</v>
      </c>
      <c r="F49" s="5" t="s">
        <v>371</v>
      </c>
      <c r="G49" s="5" t="s">
        <v>349</v>
      </c>
    </row>
    <row r="50" customFormat="false" ht="15" hidden="false" customHeight="false" outlineLevel="0" collapsed="false">
      <c r="A50" s="5" t="s">
        <v>133</v>
      </c>
      <c r="B50" s="5" t="s">
        <v>395</v>
      </c>
      <c r="C50" s="5"/>
      <c r="D50" s="5"/>
      <c r="E50" s="5" t="n">
        <v>0</v>
      </c>
      <c r="F50" s="5" t="s">
        <v>371</v>
      </c>
      <c r="G50" s="5" t="s">
        <v>349</v>
      </c>
    </row>
    <row r="51" customFormat="false" ht="15" hidden="false" customHeight="false" outlineLevel="0" collapsed="false">
      <c r="A51" s="5" t="s">
        <v>133</v>
      </c>
      <c r="B51" s="5" t="s">
        <v>396</v>
      </c>
      <c r="C51" s="5"/>
      <c r="D51" s="5"/>
      <c r="E51" s="5" t="n">
        <v>0</v>
      </c>
      <c r="F51" s="5" t="s">
        <v>371</v>
      </c>
      <c r="G51" s="5" t="s">
        <v>349</v>
      </c>
    </row>
    <row r="52" customFormat="false" ht="15" hidden="false" customHeight="false" outlineLevel="0" collapsed="false">
      <c r="A52" s="5" t="s">
        <v>133</v>
      </c>
      <c r="B52" s="5" t="s">
        <v>397</v>
      </c>
      <c r="C52" s="5"/>
      <c r="D52" s="5"/>
      <c r="E52" s="5" t="n">
        <v>0</v>
      </c>
      <c r="F52" s="5" t="s">
        <v>371</v>
      </c>
      <c r="G52" s="5" t="s">
        <v>349</v>
      </c>
    </row>
    <row r="53" customFormat="false" ht="15" hidden="false" customHeight="false" outlineLevel="0" collapsed="false">
      <c r="A53" s="5" t="s">
        <v>133</v>
      </c>
      <c r="B53" s="5" t="s">
        <v>398</v>
      </c>
      <c r="C53" s="5"/>
      <c r="D53" s="5"/>
      <c r="E53" s="5" t="n">
        <v>0</v>
      </c>
      <c r="F53" s="5" t="s">
        <v>371</v>
      </c>
      <c r="G53" s="5" t="s">
        <v>349</v>
      </c>
    </row>
    <row r="54" customFormat="false" ht="15" hidden="false" customHeight="false" outlineLevel="0" collapsed="false">
      <c r="A54" s="5" t="s">
        <v>133</v>
      </c>
      <c r="B54" s="5" t="s">
        <v>399</v>
      </c>
      <c r="C54" s="5"/>
      <c r="D54" s="5"/>
      <c r="E54" s="5" t="n">
        <v>0</v>
      </c>
      <c r="F54" s="5" t="s">
        <v>371</v>
      </c>
      <c r="G54" s="5" t="s">
        <v>349</v>
      </c>
    </row>
    <row r="55" customFormat="false" ht="15" hidden="false" customHeight="false" outlineLevel="0" collapsed="false">
      <c r="A55" s="5" t="s">
        <v>133</v>
      </c>
      <c r="B55" s="5" t="s">
        <v>400</v>
      </c>
      <c r="C55" s="5"/>
      <c r="D55" s="5"/>
      <c r="E55" s="5" t="n">
        <v>0</v>
      </c>
      <c r="F55" s="5" t="s">
        <v>371</v>
      </c>
      <c r="G55" s="5" t="s">
        <v>349</v>
      </c>
    </row>
    <row r="56" customFormat="false" ht="15" hidden="false" customHeight="false" outlineLevel="0" collapsed="false">
      <c r="A56" s="5" t="s">
        <v>133</v>
      </c>
      <c r="B56" s="5" t="s">
        <v>401</v>
      </c>
      <c r="C56" s="5"/>
      <c r="D56" s="5"/>
      <c r="E56" s="5" t="n">
        <v>0</v>
      </c>
      <c r="F56" s="5" t="s">
        <v>371</v>
      </c>
      <c r="G56" s="5" t="s">
        <v>349</v>
      </c>
    </row>
    <row r="57" customFormat="false" ht="15" hidden="false" customHeight="false" outlineLevel="0" collapsed="false">
      <c r="A57" s="5" t="s">
        <v>133</v>
      </c>
      <c r="B57" s="5" t="s">
        <v>402</v>
      </c>
      <c r="C57" s="5"/>
      <c r="D57" s="5"/>
      <c r="E57" s="5" t="n">
        <v>0</v>
      </c>
      <c r="F57" s="5" t="s">
        <v>371</v>
      </c>
      <c r="G57" s="5" t="s">
        <v>349</v>
      </c>
    </row>
    <row r="58" customFormat="false" ht="15" hidden="false" customHeight="false" outlineLevel="0" collapsed="false">
      <c r="A58" s="5" t="s">
        <v>133</v>
      </c>
      <c r="B58" s="5" t="s">
        <v>403</v>
      </c>
      <c r="C58" s="5"/>
      <c r="D58" s="5"/>
      <c r="E58" s="5" t="n">
        <v>0</v>
      </c>
      <c r="F58" s="5" t="s">
        <v>371</v>
      </c>
      <c r="G58" s="5" t="s">
        <v>349</v>
      </c>
    </row>
    <row r="59" customFormat="false" ht="15" hidden="false" customHeight="false" outlineLevel="0" collapsed="false">
      <c r="A59" s="5" t="s">
        <v>133</v>
      </c>
      <c r="B59" s="5" t="s">
        <v>404</v>
      </c>
      <c r="C59" s="5"/>
      <c r="D59" s="5"/>
      <c r="E59" s="5" t="n">
        <v>0</v>
      </c>
      <c r="F59" s="5" t="s">
        <v>371</v>
      </c>
      <c r="G59" s="5" t="s">
        <v>349</v>
      </c>
    </row>
    <row r="60" customFormat="false" ht="15" hidden="false" customHeight="false" outlineLevel="0" collapsed="false">
      <c r="A60" s="5" t="s">
        <v>133</v>
      </c>
      <c r="B60" s="5" t="s">
        <v>405</v>
      </c>
      <c r="C60" s="5"/>
      <c r="D60" s="5"/>
      <c r="E60" s="5" t="n">
        <v>0</v>
      </c>
      <c r="F60" s="5" t="s">
        <v>371</v>
      </c>
      <c r="G60" s="5" t="s">
        <v>349</v>
      </c>
    </row>
    <row r="61" customFormat="false" ht="15" hidden="false" customHeight="false" outlineLevel="0" collapsed="false">
      <c r="A61" s="5" t="s">
        <v>133</v>
      </c>
      <c r="B61" s="5" t="s">
        <v>406</v>
      </c>
      <c r="C61" s="5"/>
      <c r="D61" s="5"/>
      <c r="E61" s="5" t="n">
        <v>0</v>
      </c>
      <c r="F61" s="5" t="s">
        <v>371</v>
      </c>
      <c r="G61" s="5" t="s">
        <v>349</v>
      </c>
    </row>
    <row r="62" customFormat="false" ht="15" hidden="false" customHeight="false" outlineLevel="0" collapsed="false">
      <c r="A62" s="5" t="s">
        <v>133</v>
      </c>
      <c r="B62" s="5" t="s">
        <v>407</v>
      </c>
      <c r="C62" s="5"/>
      <c r="D62" s="5"/>
      <c r="E62" s="5" t="n">
        <v>0</v>
      </c>
      <c r="F62" s="5" t="s">
        <v>371</v>
      </c>
      <c r="G62" s="5" t="s">
        <v>349</v>
      </c>
    </row>
    <row r="63" customFormat="false" ht="15" hidden="false" customHeight="false" outlineLevel="0" collapsed="false">
      <c r="A63" s="5" t="s">
        <v>133</v>
      </c>
      <c r="B63" s="5" t="s">
        <v>408</v>
      </c>
      <c r="C63" s="5"/>
      <c r="D63" s="5"/>
      <c r="E63" s="5" t="n">
        <v>0</v>
      </c>
      <c r="F63" s="5" t="s">
        <v>371</v>
      </c>
      <c r="G63" s="5" t="s">
        <v>349</v>
      </c>
    </row>
    <row r="64" customFormat="false" ht="15" hidden="false" customHeight="false" outlineLevel="0" collapsed="false">
      <c r="A64" s="5" t="s">
        <v>133</v>
      </c>
      <c r="B64" s="5" t="s">
        <v>409</v>
      </c>
      <c r="C64" s="5"/>
      <c r="D64" s="5"/>
      <c r="E64" s="5" t="n">
        <v>0</v>
      </c>
      <c r="F64" s="5" t="s">
        <v>371</v>
      </c>
      <c r="G64" s="5" t="s">
        <v>349</v>
      </c>
    </row>
    <row r="65" customFormat="false" ht="15" hidden="false" customHeight="false" outlineLevel="0" collapsed="false">
      <c r="A65" s="5" t="s">
        <v>133</v>
      </c>
      <c r="B65" s="5" t="s">
        <v>410</v>
      </c>
      <c r="C65" s="5"/>
      <c r="D65" s="5"/>
      <c r="E65" s="5" t="n">
        <v>0</v>
      </c>
      <c r="F65" s="5" t="s">
        <v>371</v>
      </c>
      <c r="G65" s="5" t="s">
        <v>349</v>
      </c>
    </row>
    <row r="66" customFormat="false" ht="15" hidden="false" customHeight="false" outlineLevel="0" collapsed="false">
      <c r="A66" s="5" t="s">
        <v>133</v>
      </c>
      <c r="B66" s="5" t="s">
        <v>411</v>
      </c>
      <c r="C66" s="5"/>
      <c r="D66" s="5"/>
      <c r="E66" s="5" t="n">
        <v>0</v>
      </c>
      <c r="F66" s="5" t="s">
        <v>371</v>
      </c>
      <c r="G66" s="5" t="s">
        <v>349</v>
      </c>
    </row>
    <row r="67" customFormat="false" ht="15" hidden="false" customHeight="false" outlineLevel="0" collapsed="false">
      <c r="A67" s="5" t="s">
        <v>133</v>
      </c>
      <c r="B67" s="5" t="s">
        <v>412</v>
      </c>
      <c r="C67" s="5"/>
      <c r="D67" s="5"/>
      <c r="E67" s="5" t="n">
        <v>0</v>
      </c>
      <c r="F67" s="5" t="s">
        <v>371</v>
      </c>
      <c r="G67" s="5" t="s">
        <v>349</v>
      </c>
    </row>
    <row r="68" customFormat="false" ht="15" hidden="false" customHeight="false" outlineLevel="0" collapsed="false">
      <c r="A68" s="5" t="s">
        <v>133</v>
      </c>
      <c r="B68" s="5" t="s">
        <v>413</v>
      </c>
      <c r="C68" s="5"/>
      <c r="D68" s="5"/>
      <c r="E68" s="5" t="n">
        <v>0</v>
      </c>
      <c r="F68" s="5" t="s">
        <v>371</v>
      </c>
      <c r="G68" s="5" t="s">
        <v>349</v>
      </c>
    </row>
    <row r="69" customFormat="false" ht="15" hidden="false" customHeight="false" outlineLevel="0" collapsed="false">
      <c r="A69" s="5" t="s">
        <v>133</v>
      </c>
      <c r="B69" s="5" t="s">
        <v>287</v>
      </c>
      <c r="C69" s="5"/>
      <c r="D69" s="5"/>
      <c r="E69" s="5" t="n">
        <v>25</v>
      </c>
      <c r="F69" s="5" t="s">
        <v>371</v>
      </c>
      <c r="G69" s="5" t="s">
        <v>349</v>
      </c>
    </row>
    <row r="70" customFormat="false" ht="15" hidden="false" customHeight="false" outlineLevel="0" collapsed="false">
      <c r="A70" s="5" t="s">
        <v>133</v>
      </c>
      <c r="B70" s="5" t="s">
        <v>414</v>
      </c>
      <c r="C70" s="5"/>
      <c r="D70" s="5"/>
      <c r="E70" s="5" t="n">
        <v>0</v>
      </c>
      <c r="F70" s="5" t="s">
        <v>371</v>
      </c>
      <c r="G70" s="5" t="s">
        <v>349</v>
      </c>
    </row>
    <row r="71" customFormat="false" ht="15" hidden="false" customHeight="false" outlineLevel="0" collapsed="false">
      <c r="A71" s="5" t="s">
        <v>133</v>
      </c>
      <c r="B71" s="5" t="s">
        <v>415</v>
      </c>
      <c r="C71" s="5"/>
      <c r="D71" s="5"/>
      <c r="E71" s="5" t="n">
        <v>0</v>
      </c>
      <c r="F71" s="5" t="s">
        <v>371</v>
      </c>
      <c r="G71" s="5" t="s">
        <v>349</v>
      </c>
    </row>
    <row r="72" customFormat="false" ht="15" hidden="false" customHeight="false" outlineLevel="0" collapsed="false">
      <c r="A72" s="5" t="s">
        <v>133</v>
      </c>
      <c r="B72" s="5" t="s">
        <v>416</v>
      </c>
      <c r="C72" s="5"/>
      <c r="D72" s="5"/>
      <c r="E72" s="5" t="n">
        <v>0</v>
      </c>
      <c r="F72" s="5" t="s">
        <v>371</v>
      </c>
      <c r="G72" s="5" t="s">
        <v>349</v>
      </c>
    </row>
    <row r="73" customFormat="false" ht="15" hidden="false" customHeight="false" outlineLevel="0" collapsed="false">
      <c r="A73" s="5" t="s">
        <v>133</v>
      </c>
      <c r="B73" s="5" t="s">
        <v>417</v>
      </c>
      <c r="C73" s="5"/>
      <c r="D73" s="5"/>
      <c r="E73" s="5" t="n">
        <v>0</v>
      </c>
      <c r="F73" s="5" t="s">
        <v>371</v>
      </c>
      <c r="G73" s="5" t="s">
        <v>349</v>
      </c>
    </row>
    <row r="74" customFormat="false" ht="15" hidden="false" customHeight="false" outlineLevel="0" collapsed="false">
      <c r="A74" s="5" t="s">
        <v>133</v>
      </c>
      <c r="B74" s="5" t="s">
        <v>418</v>
      </c>
      <c r="C74" s="5"/>
      <c r="D74" s="5"/>
      <c r="E74" s="5" t="n">
        <v>0</v>
      </c>
      <c r="F74" s="5" t="s">
        <v>371</v>
      </c>
      <c r="G74" s="5" t="s">
        <v>349</v>
      </c>
    </row>
    <row r="75" customFormat="false" ht="15" hidden="false" customHeight="false" outlineLevel="0" collapsed="false">
      <c r="A75" s="5" t="s">
        <v>133</v>
      </c>
      <c r="B75" s="5" t="s">
        <v>419</v>
      </c>
      <c r="C75" s="5"/>
      <c r="D75" s="5"/>
      <c r="E75" s="5" t="n">
        <v>0</v>
      </c>
      <c r="F75" s="5" t="s">
        <v>371</v>
      </c>
      <c r="G75" s="5" t="s">
        <v>349</v>
      </c>
    </row>
    <row r="76" customFormat="false" ht="15" hidden="false" customHeight="false" outlineLevel="0" collapsed="false">
      <c r="A76" s="5" t="s">
        <v>133</v>
      </c>
      <c r="B76" s="5" t="s">
        <v>420</v>
      </c>
      <c r="C76" s="5"/>
      <c r="D76" s="5"/>
      <c r="E76" s="5" t="n">
        <v>0</v>
      </c>
      <c r="F76" s="5" t="s">
        <v>371</v>
      </c>
      <c r="G76" s="5" t="s">
        <v>349</v>
      </c>
    </row>
    <row r="77" customFormat="false" ht="15" hidden="false" customHeight="false" outlineLevel="0" collapsed="false">
      <c r="A77" s="5" t="s">
        <v>133</v>
      </c>
      <c r="B77" s="5" t="s">
        <v>421</v>
      </c>
      <c r="C77" s="5"/>
      <c r="D77" s="5"/>
      <c r="E77" s="5" t="n">
        <v>0</v>
      </c>
      <c r="F77" s="5" t="s">
        <v>371</v>
      </c>
      <c r="G77" s="5" t="s">
        <v>349</v>
      </c>
    </row>
    <row r="78" customFormat="false" ht="15" hidden="false" customHeight="false" outlineLevel="0" collapsed="false">
      <c r="A78" s="5" t="s">
        <v>133</v>
      </c>
      <c r="B78" s="5" t="s">
        <v>422</v>
      </c>
      <c r="C78" s="5"/>
      <c r="D78" s="5"/>
      <c r="E78" s="5" t="n">
        <v>0</v>
      </c>
      <c r="F78" s="5" t="s">
        <v>371</v>
      </c>
      <c r="G78" s="5" t="s">
        <v>349</v>
      </c>
    </row>
    <row r="79" customFormat="false" ht="15" hidden="false" customHeight="false" outlineLevel="0" collapsed="false">
      <c r="A79" s="5" t="s">
        <v>133</v>
      </c>
      <c r="B79" s="5" t="s">
        <v>423</v>
      </c>
      <c r="C79" s="5"/>
      <c r="D79" s="5"/>
      <c r="E79" s="5" t="n">
        <v>0</v>
      </c>
      <c r="F79" s="5" t="s">
        <v>371</v>
      </c>
      <c r="G79" s="5" t="s">
        <v>349</v>
      </c>
    </row>
    <row r="80" customFormat="false" ht="15" hidden="false" customHeight="false" outlineLevel="0" collapsed="false">
      <c r="A80" s="5" t="s">
        <v>133</v>
      </c>
      <c r="B80" s="5" t="s">
        <v>424</v>
      </c>
      <c r="C80" s="5"/>
      <c r="D80" s="5"/>
      <c r="E80" s="5" t="n">
        <v>0</v>
      </c>
      <c r="F80" s="5" t="s">
        <v>371</v>
      </c>
      <c r="G80" s="5" t="s">
        <v>349</v>
      </c>
    </row>
    <row r="81" customFormat="false" ht="15" hidden="false" customHeight="false" outlineLevel="0" collapsed="false">
      <c r="A81" s="5" t="s">
        <v>133</v>
      </c>
      <c r="B81" s="5" t="s">
        <v>425</v>
      </c>
      <c r="C81" s="5"/>
      <c r="D81" s="5"/>
      <c r="E81" s="5" t="n">
        <v>0</v>
      </c>
      <c r="F81" s="5" t="s">
        <v>371</v>
      </c>
      <c r="G81" s="5" t="s">
        <v>349</v>
      </c>
    </row>
    <row r="82" customFormat="false" ht="23.85" hidden="false" customHeight="false" outlineLevel="0" collapsed="false">
      <c r="A82" s="5" t="s">
        <v>87</v>
      </c>
      <c r="B82" s="5" t="s">
        <v>86</v>
      </c>
      <c r="C82" s="5"/>
      <c r="D82" s="5"/>
      <c r="E82" s="5" t="n">
        <v>4</v>
      </c>
      <c r="F82" s="5" t="s">
        <v>371</v>
      </c>
      <c r="G82" s="5" t="s">
        <v>349</v>
      </c>
    </row>
    <row r="83" customFormat="false" ht="23.85" hidden="false" customHeight="false" outlineLevel="0" collapsed="false">
      <c r="A83" s="5" t="s">
        <v>117</v>
      </c>
      <c r="B83" s="5" t="s">
        <v>426</v>
      </c>
      <c r="C83" s="5" t="s">
        <v>426</v>
      </c>
      <c r="D83" s="5" t="s">
        <v>427</v>
      </c>
      <c r="E83" s="5" t="n">
        <v>1</v>
      </c>
      <c r="F83" s="5" t="s">
        <v>371</v>
      </c>
      <c r="G83" s="5" t="s">
        <v>349</v>
      </c>
    </row>
    <row r="84" customFormat="false" ht="23.85" hidden="false" customHeight="false" outlineLevel="0" collapsed="false">
      <c r="A84" s="5" t="s">
        <v>117</v>
      </c>
      <c r="B84" s="5" t="s">
        <v>428</v>
      </c>
      <c r="C84" s="5" t="s">
        <v>428</v>
      </c>
      <c r="D84" s="5" t="s">
        <v>429</v>
      </c>
      <c r="E84" s="5" t="n">
        <v>1</v>
      </c>
      <c r="F84" s="5" t="s">
        <v>371</v>
      </c>
      <c r="G84" s="5" t="s">
        <v>349</v>
      </c>
    </row>
    <row r="85" customFormat="false" ht="35.05" hidden="false" customHeight="false" outlineLevel="0" collapsed="false">
      <c r="A85" s="5" t="s">
        <v>117</v>
      </c>
      <c r="B85" s="5" t="s">
        <v>430</v>
      </c>
      <c r="C85" s="5" t="s">
        <v>430</v>
      </c>
      <c r="D85" s="5" t="s">
        <v>431</v>
      </c>
      <c r="E85" s="5" t="n">
        <v>1</v>
      </c>
      <c r="F85" s="5" t="s">
        <v>371</v>
      </c>
      <c r="G85" s="5" t="s">
        <v>349</v>
      </c>
    </row>
    <row r="86" customFormat="false" ht="35.05" hidden="false" customHeight="false" outlineLevel="0" collapsed="false">
      <c r="A86" s="5" t="s">
        <v>117</v>
      </c>
      <c r="B86" s="5" t="s">
        <v>432</v>
      </c>
      <c r="C86" s="5" t="s">
        <v>432</v>
      </c>
      <c r="D86" s="5" t="s">
        <v>433</v>
      </c>
      <c r="E86" s="5" t="n">
        <v>1</v>
      </c>
      <c r="F86" s="5" t="s">
        <v>371</v>
      </c>
      <c r="G86" s="5" t="s">
        <v>349</v>
      </c>
    </row>
    <row r="87" customFormat="false" ht="46.25" hidden="false" customHeight="false" outlineLevel="0" collapsed="false">
      <c r="A87" s="5" t="s">
        <v>176</v>
      </c>
      <c r="B87" s="5" t="s">
        <v>175</v>
      </c>
      <c r="C87" s="5" t="s">
        <v>175</v>
      </c>
      <c r="D87" s="5" t="s">
        <v>434</v>
      </c>
      <c r="E87" s="5" t="n">
        <v>3</v>
      </c>
      <c r="F87" s="5" t="s">
        <v>371</v>
      </c>
      <c r="G87" s="5" t="s">
        <v>349</v>
      </c>
    </row>
    <row r="88" customFormat="false" ht="46.25" hidden="false" customHeight="false" outlineLevel="0" collapsed="false">
      <c r="A88" s="5" t="s">
        <v>176</v>
      </c>
      <c r="B88" s="5" t="s">
        <v>435</v>
      </c>
      <c r="C88" s="5" t="s">
        <v>435</v>
      </c>
      <c r="D88" s="5" t="s">
        <v>436</v>
      </c>
      <c r="E88" s="5" t="n">
        <v>1</v>
      </c>
      <c r="F88" s="5" t="s">
        <v>371</v>
      </c>
      <c r="G88" s="5" t="s">
        <v>349</v>
      </c>
    </row>
    <row r="89" customFormat="false" ht="15" hidden="false" customHeight="false" outlineLevel="0" collapsed="false">
      <c r="A89" s="5" t="s">
        <v>299</v>
      </c>
      <c r="B89" s="5" t="s">
        <v>437</v>
      </c>
      <c r="C89" s="5" t="s">
        <v>437</v>
      </c>
      <c r="D89" s="5"/>
      <c r="E89" s="5" t="n">
        <v>2</v>
      </c>
      <c r="F89" s="5" t="s">
        <v>371</v>
      </c>
      <c r="G89" s="5" t="s">
        <v>349</v>
      </c>
    </row>
    <row r="90" customFormat="false" ht="15" hidden="false" customHeight="false" outlineLevel="0" collapsed="false">
      <c r="A90" s="5" t="s">
        <v>299</v>
      </c>
      <c r="B90" s="5" t="s">
        <v>438</v>
      </c>
      <c r="C90" s="5" t="s">
        <v>438</v>
      </c>
      <c r="D90" s="5"/>
      <c r="E90" s="5" t="n">
        <v>1</v>
      </c>
      <c r="F90" s="5" t="s">
        <v>371</v>
      </c>
      <c r="G90" s="5" t="s">
        <v>349</v>
      </c>
    </row>
    <row r="91" customFormat="false" ht="15" hidden="false" customHeight="false" outlineLevel="0" collapsed="false">
      <c r="A91" s="5" t="s">
        <v>299</v>
      </c>
      <c r="B91" s="5" t="s">
        <v>439</v>
      </c>
      <c r="C91" s="5" t="s">
        <v>439</v>
      </c>
      <c r="D91" s="5"/>
      <c r="E91" s="5" t="n">
        <v>1</v>
      </c>
      <c r="F91" s="5" t="s">
        <v>371</v>
      </c>
      <c r="G91" s="5" t="s">
        <v>349</v>
      </c>
    </row>
    <row r="92" customFormat="false" ht="15" hidden="false" customHeight="false" outlineLevel="0" collapsed="false">
      <c r="A92" s="5" t="s">
        <v>271</v>
      </c>
      <c r="B92" s="5" t="s">
        <v>440</v>
      </c>
      <c r="C92" s="5" t="s">
        <v>441</v>
      </c>
      <c r="D92" s="5" t="s">
        <v>442</v>
      </c>
      <c r="E92" s="5" t="n">
        <v>3</v>
      </c>
      <c r="F92" s="5" t="s">
        <v>371</v>
      </c>
      <c r="G92" s="5" t="s">
        <v>349</v>
      </c>
    </row>
    <row r="93" customFormat="false" ht="15" hidden="false" customHeight="false" outlineLevel="0" collapsed="false">
      <c r="A93" s="5" t="s">
        <v>271</v>
      </c>
      <c r="B93" s="5" t="s">
        <v>443</v>
      </c>
      <c r="C93" s="5" t="s">
        <v>444</v>
      </c>
      <c r="D93" s="5" t="s">
        <v>445</v>
      </c>
      <c r="E93" s="5" t="n">
        <v>1</v>
      </c>
      <c r="F93" s="5" t="s">
        <v>371</v>
      </c>
      <c r="G93" s="5" t="s">
        <v>349</v>
      </c>
    </row>
    <row r="94" customFormat="false" ht="15" hidden="false" customHeight="false" outlineLevel="0" collapsed="false">
      <c r="A94" s="5" t="s">
        <v>271</v>
      </c>
      <c r="B94" s="5" t="s">
        <v>446</v>
      </c>
      <c r="C94" s="5" t="s">
        <v>447</v>
      </c>
      <c r="D94" s="5" t="s">
        <v>448</v>
      </c>
      <c r="E94" s="5" t="n">
        <v>1</v>
      </c>
      <c r="F94" s="5" t="s">
        <v>371</v>
      </c>
      <c r="G94" s="5" t="s">
        <v>349</v>
      </c>
    </row>
    <row r="95" customFormat="false" ht="15" hidden="false" customHeight="false" outlineLevel="0" collapsed="false">
      <c r="A95" s="5" t="s">
        <v>271</v>
      </c>
      <c r="B95" s="5" t="s">
        <v>449</v>
      </c>
      <c r="C95" s="5" t="s">
        <v>450</v>
      </c>
      <c r="D95" s="5" t="s">
        <v>451</v>
      </c>
      <c r="E95" s="5" t="n">
        <v>1</v>
      </c>
      <c r="F95" s="5" t="s">
        <v>371</v>
      </c>
      <c r="G95" s="5" t="s">
        <v>349</v>
      </c>
    </row>
    <row r="96" customFormat="false" ht="15" hidden="false" customHeight="false" outlineLevel="0" collapsed="false">
      <c r="A96" s="5" t="s">
        <v>271</v>
      </c>
      <c r="B96" s="5" t="s">
        <v>452</v>
      </c>
      <c r="C96" s="5" t="s">
        <v>441</v>
      </c>
      <c r="D96" s="5" t="s">
        <v>442</v>
      </c>
      <c r="E96" s="5" t="n">
        <v>1</v>
      </c>
      <c r="F96" s="5" t="s">
        <v>371</v>
      </c>
      <c r="G96" s="5" t="s">
        <v>349</v>
      </c>
    </row>
    <row r="97" customFormat="false" ht="15" hidden="false" customHeight="false" outlineLevel="0" collapsed="false">
      <c r="A97" s="5" t="s">
        <v>271</v>
      </c>
      <c r="B97" s="5" t="s">
        <v>453</v>
      </c>
      <c r="C97" s="5" t="s">
        <v>454</v>
      </c>
      <c r="D97" s="5" t="s">
        <v>455</v>
      </c>
      <c r="E97" s="5" t="n">
        <v>2</v>
      </c>
      <c r="F97" s="5" t="s">
        <v>371</v>
      </c>
      <c r="G97" s="5" t="s">
        <v>349</v>
      </c>
    </row>
    <row r="98" customFormat="false" ht="23.85" hidden="false" customHeight="false" outlineLevel="0" collapsed="false">
      <c r="A98" s="5" t="s">
        <v>271</v>
      </c>
      <c r="B98" s="5" t="s">
        <v>456</v>
      </c>
      <c r="C98" s="5" t="s">
        <v>457</v>
      </c>
      <c r="D98" s="5" t="s">
        <v>458</v>
      </c>
      <c r="E98" s="5" t="n">
        <v>1</v>
      </c>
      <c r="F98" s="5" t="s">
        <v>371</v>
      </c>
      <c r="G98" s="5" t="s">
        <v>349</v>
      </c>
    </row>
    <row r="99" customFormat="false" ht="15" hidden="false" customHeight="false" outlineLevel="0" collapsed="false">
      <c r="A99" s="5" t="s">
        <v>271</v>
      </c>
      <c r="B99" s="5" t="s">
        <v>459</v>
      </c>
      <c r="C99" s="5" t="s">
        <v>460</v>
      </c>
      <c r="D99" s="5" t="s">
        <v>461</v>
      </c>
      <c r="E99" s="5" t="n">
        <v>2</v>
      </c>
      <c r="F99" s="5" t="s">
        <v>371</v>
      </c>
      <c r="G99" s="5" t="s">
        <v>349</v>
      </c>
    </row>
    <row r="100" customFormat="false" ht="15" hidden="false" customHeight="false" outlineLevel="0" collapsed="false">
      <c r="A100" s="5" t="s">
        <v>271</v>
      </c>
      <c r="B100" s="5" t="s">
        <v>462</v>
      </c>
      <c r="C100" s="5" t="s">
        <v>463</v>
      </c>
      <c r="D100" s="5" t="s">
        <v>464</v>
      </c>
      <c r="E100" s="5" t="n">
        <v>2</v>
      </c>
      <c r="F100" s="5" t="s">
        <v>371</v>
      </c>
      <c r="G100" s="5" t="s">
        <v>349</v>
      </c>
    </row>
    <row r="101" customFormat="false" ht="15" hidden="false" customHeight="false" outlineLevel="0" collapsed="false">
      <c r="A101" s="5" t="s">
        <v>271</v>
      </c>
      <c r="B101" s="5" t="s">
        <v>465</v>
      </c>
      <c r="C101" s="5" t="s">
        <v>466</v>
      </c>
      <c r="D101" s="5" t="s">
        <v>467</v>
      </c>
      <c r="E101" s="5" t="n">
        <v>1</v>
      </c>
      <c r="F101" s="5" t="s">
        <v>371</v>
      </c>
      <c r="G101" s="5" t="s">
        <v>349</v>
      </c>
    </row>
    <row r="102" customFormat="false" ht="15" hidden="false" customHeight="false" outlineLevel="0" collapsed="false">
      <c r="A102" s="5" t="s">
        <v>271</v>
      </c>
      <c r="B102" s="5" t="s">
        <v>468</v>
      </c>
      <c r="C102" s="5" t="s">
        <v>469</v>
      </c>
      <c r="D102" s="5" t="s">
        <v>470</v>
      </c>
      <c r="E102" s="5" t="n">
        <v>1</v>
      </c>
      <c r="F102" s="5" t="s">
        <v>371</v>
      </c>
      <c r="G102" s="5" t="s">
        <v>349</v>
      </c>
    </row>
    <row r="103" customFormat="false" ht="23.85" hidden="false" customHeight="false" outlineLevel="0" collapsed="false">
      <c r="A103" s="5" t="s">
        <v>271</v>
      </c>
      <c r="B103" s="5" t="s">
        <v>471</v>
      </c>
      <c r="C103" s="5" t="s">
        <v>472</v>
      </c>
      <c r="D103" s="5" t="s">
        <v>473</v>
      </c>
      <c r="E103" s="5" t="n">
        <v>1</v>
      </c>
      <c r="F103" s="5" t="s">
        <v>371</v>
      </c>
      <c r="G103" s="5" t="s">
        <v>349</v>
      </c>
    </row>
    <row r="104" customFormat="false" ht="15" hidden="false" customHeight="false" outlineLevel="0" collapsed="false">
      <c r="A104" s="5" t="s">
        <v>271</v>
      </c>
      <c r="B104" s="5" t="s">
        <v>474</v>
      </c>
      <c r="C104" s="5" t="s">
        <v>475</v>
      </c>
      <c r="D104" s="5" t="s">
        <v>476</v>
      </c>
      <c r="E104" s="5" t="n">
        <v>2</v>
      </c>
      <c r="F104" s="5" t="s">
        <v>371</v>
      </c>
      <c r="G104" s="5" t="s">
        <v>349</v>
      </c>
    </row>
    <row r="105" customFormat="false" ht="15" hidden="false" customHeight="false" outlineLevel="0" collapsed="false">
      <c r="A105" s="5" t="s">
        <v>271</v>
      </c>
      <c r="B105" s="5" t="s">
        <v>477</v>
      </c>
      <c r="C105" s="5" t="s">
        <v>478</v>
      </c>
      <c r="D105" s="5" t="s">
        <v>479</v>
      </c>
      <c r="E105" s="5" t="n">
        <v>1</v>
      </c>
      <c r="F105" s="5" t="s">
        <v>371</v>
      </c>
      <c r="G105" s="5" t="s">
        <v>349</v>
      </c>
    </row>
    <row r="106" customFormat="false" ht="15" hidden="false" customHeight="false" outlineLevel="0" collapsed="false">
      <c r="A106" s="5" t="s">
        <v>271</v>
      </c>
      <c r="B106" s="5" t="s">
        <v>480</v>
      </c>
      <c r="C106" s="5" t="s">
        <v>481</v>
      </c>
      <c r="D106" s="5" t="s">
        <v>482</v>
      </c>
      <c r="E106" s="5" t="n">
        <v>1</v>
      </c>
      <c r="F106" s="5" t="s">
        <v>371</v>
      </c>
      <c r="G106" s="5" t="s">
        <v>349</v>
      </c>
    </row>
    <row r="107" customFormat="false" ht="15" hidden="false" customHeight="false" outlineLevel="0" collapsed="false">
      <c r="A107" s="5" t="s">
        <v>271</v>
      </c>
      <c r="B107" s="5" t="s">
        <v>483</v>
      </c>
      <c r="C107" s="5" t="s">
        <v>484</v>
      </c>
      <c r="D107" s="5" t="s">
        <v>485</v>
      </c>
      <c r="E107" s="5" t="n">
        <v>1</v>
      </c>
      <c r="F107" s="5" t="s">
        <v>371</v>
      </c>
      <c r="G107" s="5" t="s">
        <v>349</v>
      </c>
    </row>
    <row r="108" customFormat="false" ht="15" hidden="false" customHeight="false" outlineLevel="0" collapsed="false">
      <c r="A108" s="5" t="s">
        <v>271</v>
      </c>
      <c r="B108" s="5" t="s">
        <v>486</v>
      </c>
      <c r="C108" s="5" t="s">
        <v>487</v>
      </c>
      <c r="D108" s="5" t="s">
        <v>488</v>
      </c>
      <c r="E108" s="5" t="n">
        <v>1</v>
      </c>
      <c r="F108" s="5" t="s">
        <v>371</v>
      </c>
      <c r="G108" s="5" t="s">
        <v>349</v>
      </c>
    </row>
    <row r="109" customFormat="false" ht="15" hidden="false" customHeight="false" outlineLevel="0" collapsed="false">
      <c r="A109" s="5" t="s">
        <v>271</v>
      </c>
      <c r="B109" s="5" t="s">
        <v>489</v>
      </c>
      <c r="C109" s="5" t="s">
        <v>490</v>
      </c>
      <c r="D109" s="5" t="s">
        <v>491</v>
      </c>
      <c r="E109" s="5" t="n">
        <v>1</v>
      </c>
      <c r="F109" s="5" t="s">
        <v>371</v>
      </c>
      <c r="G109" s="5" t="s">
        <v>349</v>
      </c>
    </row>
    <row r="110" customFormat="false" ht="15" hidden="false" customHeight="false" outlineLevel="0" collapsed="false">
      <c r="A110" s="5" t="s">
        <v>271</v>
      </c>
      <c r="B110" s="5" t="s">
        <v>492</v>
      </c>
      <c r="C110" s="5" t="s">
        <v>493</v>
      </c>
      <c r="D110" s="5" t="s">
        <v>494</v>
      </c>
      <c r="E110" s="5" t="n">
        <v>1</v>
      </c>
      <c r="F110" s="5" t="s">
        <v>371</v>
      </c>
      <c r="G110" s="5" t="s">
        <v>349</v>
      </c>
    </row>
    <row r="111" customFormat="false" ht="15" hidden="false" customHeight="false" outlineLevel="0" collapsed="false">
      <c r="A111" s="5" t="s">
        <v>271</v>
      </c>
      <c r="B111" s="5" t="s">
        <v>495</v>
      </c>
      <c r="C111" s="5" t="s">
        <v>496</v>
      </c>
      <c r="D111" s="5" t="s">
        <v>497</v>
      </c>
      <c r="E111" s="5" t="n">
        <v>1</v>
      </c>
      <c r="F111" s="5" t="s">
        <v>371</v>
      </c>
      <c r="G111" s="5" t="s">
        <v>349</v>
      </c>
    </row>
    <row r="112" customFormat="false" ht="15" hidden="false" customHeight="false" outlineLevel="0" collapsed="false">
      <c r="A112" s="5" t="s">
        <v>271</v>
      </c>
      <c r="B112" s="5" t="s">
        <v>498</v>
      </c>
      <c r="C112" s="5" t="s">
        <v>499</v>
      </c>
      <c r="D112" s="5" t="s">
        <v>500</v>
      </c>
      <c r="E112" s="5" t="n">
        <v>1</v>
      </c>
      <c r="F112" s="5" t="s">
        <v>371</v>
      </c>
      <c r="G112" s="5" t="s">
        <v>349</v>
      </c>
    </row>
    <row r="113" customFormat="false" ht="15" hidden="false" customHeight="false" outlineLevel="0" collapsed="false">
      <c r="A113" s="5" t="s">
        <v>271</v>
      </c>
      <c r="B113" s="5" t="s">
        <v>501</v>
      </c>
      <c r="C113" s="5" t="s">
        <v>502</v>
      </c>
      <c r="D113" s="5" t="s">
        <v>503</v>
      </c>
      <c r="E113" s="5" t="n">
        <v>1</v>
      </c>
      <c r="F113" s="5" t="s">
        <v>371</v>
      </c>
      <c r="G113" s="5" t="s">
        <v>349</v>
      </c>
    </row>
    <row r="114" customFormat="false" ht="15" hidden="false" customHeight="false" outlineLevel="0" collapsed="false">
      <c r="A114" s="5" t="s">
        <v>271</v>
      </c>
      <c r="B114" s="5" t="s">
        <v>504</v>
      </c>
      <c r="C114" s="5" t="s">
        <v>505</v>
      </c>
      <c r="D114" s="5" t="s">
        <v>506</v>
      </c>
      <c r="E114" s="5" t="n">
        <v>1</v>
      </c>
      <c r="F114" s="5" t="s">
        <v>371</v>
      </c>
      <c r="G114" s="5" t="s">
        <v>349</v>
      </c>
    </row>
    <row r="115" customFormat="false" ht="15" hidden="false" customHeight="false" outlineLevel="0" collapsed="false">
      <c r="A115" s="5" t="s">
        <v>271</v>
      </c>
      <c r="B115" s="5" t="s">
        <v>507</v>
      </c>
      <c r="C115" s="5" t="s">
        <v>508</v>
      </c>
      <c r="D115" s="5" t="s">
        <v>509</v>
      </c>
      <c r="E115" s="5" t="n">
        <v>1</v>
      </c>
      <c r="F115" s="5" t="s">
        <v>371</v>
      </c>
      <c r="G115" s="5" t="s">
        <v>349</v>
      </c>
    </row>
    <row r="116" customFormat="false" ht="15" hidden="false" customHeight="false" outlineLevel="0" collapsed="false">
      <c r="A116" s="5" t="s">
        <v>271</v>
      </c>
      <c r="B116" s="5" t="s">
        <v>510</v>
      </c>
      <c r="C116" s="5" t="s">
        <v>511</v>
      </c>
      <c r="D116" s="5" t="s">
        <v>512</v>
      </c>
      <c r="E116" s="5" t="n">
        <v>1</v>
      </c>
      <c r="F116" s="5" t="s">
        <v>371</v>
      </c>
      <c r="G116" s="5" t="s">
        <v>349</v>
      </c>
    </row>
    <row r="117" customFormat="false" ht="15" hidden="false" customHeight="false" outlineLevel="0" collapsed="false">
      <c r="A117" s="5" t="s">
        <v>271</v>
      </c>
      <c r="B117" s="5" t="s">
        <v>513</v>
      </c>
      <c r="C117" s="5" t="s">
        <v>514</v>
      </c>
      <c r="D117" s="5" t="s">
        <v>515</v>
      </c>
      <c r="E117" s="5" t="n">
        <v>1</v>
      </c>
      <c r="F117" s="5" t="s">
        <v>371</v>
      </c>
      <c r="G117" s="5" t="s">
        <v>349</v>
      </c>
    </row>
    <row r="118" customFormat="false" ht="15" hidden="false" customHeight="false" outlineLevel="0" collapsed="false">
      <c r="A118" s="5" t="s">
        <v>271</v>
      </c>
      <c r="B118" s="5" t="s">
        <v>516</v>
      </c>
      <c r="C118" s="5" t="s">
        <v>517</v>
      </c>
      <c r="D118" s="5" t="s">
        <v>518</v>
      </c>
      <c r="E118" s="5" t="n">
        <v>1</v>
      </c>
      <c r="F118" s="5" t="s">
        <v>371</v>
      </c>
      <c r="G118" s="5" t="s">
        <v>349</v>
      </c>
    </row>
    <row r="119" customFormat="false" ht="15" hidden="false" customHeight="false" outlineLevel="0" collapsed="false">
      <c r="A119" s="5" t="s">
        <v>271</v>
      </c>
      <c r="B119" s="5" t="s">
        <v>519</v>
      </c>
      <c r="C119" s="5" t="s">
        <v>520</v>
      </c>
      <c r="D119" s="5" t="s">
        <v>521</v>
      </c>
      <c r="E119" s="5" t="n">
        <v>1</v>
      </c>
      <c r="F119" s="5" t="s">
        <v>371</v>
      </c>
      <c r="G119" s="5" t="s">
        <v>349</v>
      </c>
    </row>
    <row r="120" customFormat="false" ht="15" hidden="false" customHeight="false" outlineLevel="0" collapsed="false">
      <c r="A120" s="5" t="s">
        <v>271</v>
      </c>
      <c r="B120" s="5" t="s">
        <v>522</v>
      </c>
      <c r="C120" s="5" t="s">
        <v>523</v>
      </c>
      <c r="D120" s="5" t="s">
        <v>524</v>
      </c>
      <c r="E120" s="5" t="n">
        <v>1</v>
      </c>
      <c r="F120" s="5" t="s">
        <v>371</v>
      </c>
      <c r="G120" s="5" t="s">
        <v>349</v>
      </c>
    </row>
    <row r="121" customFormat="false" ht="15" hidden="false" customHeight="false" outlineLevel="0" collapsed="false">
      <c r="A121" s="5" t="s">
        <v>271</v>
      </c>
      <c r="B121" s="5" t="s">
        <v>525</v>
      </c>
      <c r="C121" s="5" t="s">
        <v>441</v>
      </c>
      <c r="D121" s="5" t="s">
        <v>442</v>
      </c>
      <c r="E121" s="5" t="n">
        <v>0</v>
      </c>
      <c r="F121" s="5" t="s">
        <v>371</v>
      </c>
      <c r="G121" s="5" t="s">
        <v>349</v>
      </c>
    </row>
    <row r="122" customFormat="false" ht="15" hidden="false" customHeight="false" outlineLevel="0" collapsed="false">
      <c r="A122" s="5" t="s">
        <v>271</v>
      </c>
      <c r="B122" s="5" t="s">
        <v>526</v>
      </c>
      <c r="C122" s="5" t="s">
        <v>441</v>
      </c>
      <c r="D122" s="5" t="s">
        <v>442</v>
      </c>
      <c r="E122" s="5" t="n">
        <v>0</v>
      </c>
      <c r="F122" s="5" t="s">
        <v>371</v>
      </c>
      <c r="G122" s="5" t="s">
        <v>349</v>
      </c>
    </row>
    <row r="123" customFormat="false" ht="15" hidden="false" customHeight="false" outlineLevel="0" collapsed="false">
      <c r="A123" s="5" t="s">
        <v>271</v>
      </c>
      <c r="B123" s="5" t="s">
        <v>527</v>
      </c>
      <c r="C123" s="5" t="s">
        <v>441</v>
      </c>
      <c r="D123" s="5" t="s">
        <v>442</v>
      </c>
      <c r="E123" s="5" t="n">
        <v>0</v>
      </c>
      <c r="F123" s="5" t="s">
        <v>371</v>
      </c>
      <c r="G123" s="5" t="s">
        <v>349</v>
      </c>
    </row>
    <row r="124" customFormat="false" ht="15" hidden="false" customHeight="false" outlineLevel="0" collapsed="false">
      <c r="A124" s="5" t="s">
        <v>283</v>
      </c>
      <c r="B124" s="5" t="s">
        <v>282</v>
      </c>
      <c r="C124" s="5" t="s">
        <v>528</v>
      </c>
      <c r="D124" s="5"/>
      <c r="E124" s="5" t="n">
        <v>25</v>
      </c>
      <c r="F124" s="5" t="s">
        <v>371</v>
      </c>
      <c r="G124" s="5" t="s">
        <v>349</v>
      </c>
    </row>
    <row r="125" customFormat="false" ht="15" hidden="false" customHeight="false" outlineLevel="0" collapsed="false">
      <c r="A125" s="5" t="s">
        <v>283</v>
      </c>
      <c r="B125" s="5" t="s">
        <v>529</v>
      </c>
      <c r="C125" s="5" t="s">
        <v>530</v>
      </c>
      <c r="D125" s="5"/>
      <c r="E125" s="5" t="n">
        <v>0</v>
      </c>
      <c r="F125" s="5" t="s">
        <v>371</v>
      </c>
      <c r="G125" s="5" t="s">
        <v>349</v>
      </c>
    </row>
    <row r="126" customFormat="false" ht="15" hidden="false" customHeight="false" outlineLevel="0" collapsed="false">
      <c r="A126" s="5" t="s">
        <v>283</v>
      </c>
      <c r="B126" s="5" t="s">
        <v>531</v>
      </c>
      <c r="C126" s="5" t="s">
        <v>532</v>
      </c>
      <c r="D126" s="5"/>
      <c r="E126" s="5" t="n">
        <v>0</v>
      </c>
      <c r="F126" s="5" t="s">
        <v>371</v>
      </c>
      <c r="G126" s="5" t="s">
        <v>349</v>
      </c>
    </row>
    <row r="127" customFormat="false" ht="15" hidden="false" customHeight="false" outlineLevel="0" collapsed="false">
      <c r="A127" s="5" t="s">
        <v>283</v>
      </c>
      <c r="B127" s="5" t="s">
        <v>533</v>
      </c>
      <c r="C127" s="5" t="s">
        <v>534</v>
      </c>
      <c r="D127" s="5"/>
      <c r="E127" s="5" t="n">
        <v>0</v>
      </c>
      <c r="F127" s="5" t="s">
        <v>371</v>
      </c>
      <c r="G127" s="5" t="s">
        <v>349</v>
      </c>
    </row>
    <row r="128" customFormat="false" ht="15" hidden="false" customHeight="false" outlineLevel="0" collapsed="false">
      <c r="A128" s="5" t="s">
        <v>283</v>
      </c>
      <c r="B128" s="5" t="s">
        <v>535</v>
      </c>
      <c r="C128" s="5" t="s">
        <v>536</v>
      </c>
      <c r="D128" s="5"/>
      <c r="E128" s="5" t="n">
        <v>0</v>
      </c>
      <c r="F128" s="5" t="s">
        <v>371</v>
      </c>
      <c r="G128" s="5" t="s">
        <v>349</v>
      </c>
    </row>
    <row r="129" customFormat="false" ht="15" hidden="false" customHeight="false" outlineLevel="0" collapsed="false">
      <c r="A129" s="5" t="s">
        <v>277</v>
      </c>
      <c r="B129" s="5" t="s">
        <v>537</v>
      </c>
      <c r="C129" s="5"/>
      <c r="D129" s="5"/>
      <c r="E129" s="5" t="n">
        <v>0</v>
      </c>
      <c r="F129" s="5" t="s">
        <v>371</v>
      </c>
      <c r="G129" s="5" t="s">
        <v>349</v>
      </c>
    </row>
    <row r="130" customFormat="false" ht="15" hidden="false" customHeight="false" outlineLevel="0" collapsed="false">
      <c r="A130" s="5" t="s">
        <v>277</v>
      </c>
      <c r="B130" s="5" t="s">
        <v>538</v>
      </c>
      <c r="C130" s="5"/>
      <c r="D130" s="5"/>
      <c r="E130" s="5" t="n">
        <v>0</v>
      </c>
      <c r="F130" s="5" t="s">
        <v>371</v>
      </c>
      <c r="G130" s="5" t="s">
        <v>349</v>
      </c>
    </row>
    <row r="131" customFormat="false" ht="15" hidden="false" customHeight="false" outlineLevel="0" collapsed="false">
      <c r="A131" s="5" t="s">
        <v>277</v>
      </c>
      <c r="B131" s="5" t="s">
        <v>539</v>
      </c>
      <c r="C131" s="5"/>
      <c r="D131" s="5"/>
      <c r="E131" s="5" t="n">
        <v>0</v>
      </c>
      <c r="F131" s="5" t="s">
        <v>371</v>
      </c>
      <c r="G131" s="5" t="s">
        <v>349</v>
      </c>
    </row>
    <row r="132" customFormat="false" ht="15" hidden="false" customHeight="false" outlineLevel="0" collapsed="false">
      <c r="A132" s="5" t="s">
        <v>277</v>
      </c>
      <c r="B132" s="5" t="s">
        <v>540</v>
      </c>
      <c r="C132" s="5"/>
      <c r="D132" s="5"/>
      <c r="E132" s="5" t="n">
        <v>0</v>
      </c>
      <c r="F132" s="5" t="s">
        <v>371</v>
      </c>
      <c r="G132" s="5" t="s">
        <v>349</v>
      </c>
    </row>
    <row r="133" customFormat="false" ht="15" hidden="false" customHeight="false" outlineLevel="0" collapsed="false">
      <c r="A133" s="5" t="s">
        <v>277</v>
      </c>
      <c r="B133" s="5" t="s">
        <v>541</v>
      </c>
      <c r="C133" s="5"/>
      <c r="D133" s="5"/>
      <c r="E133" s="5" t="n">
        <v>0</v>
      </c>
      <c r="F133" s="5" t="s">
        <v>371</v>
      </c>
      <c r="G133" s="5" t="s">
        <v>349</v>
      </c>
    </row>
    <row r="134" customFormat="false" ht="15" hidden="false" customHeight="false" outlineLevel="0" collapsed="false">
      <c r="A134" s="5" t="s">
        <v>277</v>
      </c>
      <c r="B134" s="5" t="s">
        <v>542</v>
      </c>
      <c r="C134" s="5"/>
      <c r="D134" s="5"/>
      <c r="E134" s="5" t="n">
        <v>0</v>
      </c>
      <c r="F134" s="5" t="s">
        <v>371</v>
      </c>
      <c r="G134" s="5" t="s">
        <v>349</v>
      </c>
    </row>
    <row r="135" customFormat="false" ht="15" hidden="false" customHeight="false" outlineLevel="0" collapsed="false">
      <c r="A135" s="5" t="s">
        <v>277</v>
      </c>
      <c r="B135" s="5" t="s">
        <v>543</v>
      </c>
      <c r="C135" s="5"/>
      <c r="D135" s="5"/>
      <c r="E135" s="5" t="n">
        <v>0</v>
      </c>
      <c r="F135" s="5" t="s">
        <v>371</v>
      </c>
      <c r="G135" s="5" t="s">
        <v>349</v>
      </c>
    </row>
    <row r="136" customFormat="false" ht="15" hidden="false" customHeight="false" outlineLevel="0" collapsed="false">
      <c r="A136" s="5" t="s">
        <v>277</v>
      </c>
      <c r="B136" s="5" t="s">
        <v>544</v>
      </c>
      <c r="C136" s="5"/>
      <c r="D136" s="5"/>
      <c r="E136" s="5" t="n">
        <v>0</v>
      </c>
      <c r="F136" s="5" t="s">
        <v>371</v>
      </c>
      <c r="G136" s="5" t="s">
        <v>349</v>
      </c>
    </row>
    <row r="137" customFormat="false" ht="15" hidden="false" customHeight="false" outlineLevel="0" collapsed="false">
      <c r="A137" s="5" t="s">
        <v>336</v>
      </c>
      <c r="B137" s="5" t="s">
        <v>545</v>
      </c>
      <c r="C137" s="5"/>
      <c r="D137" s="5"/>
      <c r="E137" s="5" t="n">
        <v>0</v>
      </c>
      <c r="F137" s="5" t="s">
        <v>371</v>
      </c>
      <c r="G137" s="5" t="s">
        <v>349</v>
      </c>
    </row>
    <row r="138" customFormat="false" ht="15" hidden="false" customHeight="false" outlineLevel="0" collapsed="false">
      <c r="A138" s="5" t="s">
        <v>336</v>
      </c>
      <c r="B138" s="5" t="s">
        <v>546</v>
      </c>
      <c r="C138" s="5"/>
      <c r="D138" s="5"/>
      <c r="E138" s="5" t="n">
        <v>0</v>
      </c>
      <c r="F138" s="5" t="s">
        <v>371</v>
      </c>
      <c r="G138" s="5" t="s">
        <v>349</v>
      </c>
    </row>
    <row r="139" customFormat="false" ht="15" hidden="false" customHeight="false" outlineLevel="0" collapsed="false">
      <c r="A139" s="5" t="s">
        <v>336</v>
      </c>
      <c r="B139" s="5" t="s">
        <v>547</v>
      </c>
      <c r="C139" s="5"/>
      <c r="D139" s="5"/>
      <c r="E139" s="5" t="n">
        <v>0</v>
      </c>
      <c r="F139" s="5" t="s">
        <v>371</v>
      </c>
      <c r="G139" s="5" t="s">
        <v>349</v>
      </c>
    </row>
    <row r="140" customFormat="false" ht="15" hidden="false" customHeight="false" outlineLevel="0" collapsed="false">
      <c r="A140" s="5" t="s">
        <v>336</v>
      </c>
      <c r="B140" s="5" t="s">
        <v>548</v>
      </c>
      <c r="C140" s="5"/>
      <c r="D140" s="5"/>
      <c r="E140" s="5" t="n">
        <v>0</v>
      </c>
      <c r="F140" s="5" t="s">
        <v>371</v>
      </c>
      <c r="G140" s="5" t="s">
        <v>349</v>
      </c>
    </row>
    <row r="141" customFormat="false" ht="15" hidden="false" customHeight="false" outlineLevel="0" collapsed="false">
      <c r="A141" s="5" t="s">
        <v>336</v>
      </c>
      <c r="B141" s="5" t="s">
        <v>549</v>
      </c>
      <c r="C141" s="5"/>
      <c r="D141" s="5"/>
      <c r="E141" s="5" t="n">
        <v>0</v>
      </c>
      <c r="F141" s="5" t="s">
        <v>371</v>
      </c>
      <c r="G141" s="5" t="s">
        <v>349</v>
      </c>
    </row>
    <row r="142" customFormat="false" ht="15" hidden="false" customHeight="false" outlineLevel="0" collapsed="false">
      <c r="A142" s="5" t="s">
        <v>336</v>
      </c>
      <c r="B142" s="5" t="s">
        <v>550</v>
      </c>
      <c r="C142" s="5"/>
      <c r="D142" s="5"/>
      <c r="E142" s="5" t="n">
        <v>0</v>
      </c>
      <c r="F142" s="5" t="s">
        <v>371</v>
      </c>
      <c r="G142" s="5" t="s">
        <v>349</v>
      </c>
    </row>
    <row r="143" customFormat="false" ht="15" hidden="false" customHeight="false" outlineLevel="0" collapsed="false">
      <c r="A143" s="5" t="s">
        <v>551</v>
      </c>
      <c r="B143" s="5" t="s">
        <v>552</v>
      </c>
      <c r="C143" s="5" t="s">
        <v>553</v>
      </c>
      <c r="D143" s="5"/>
      <c r="E143" s="5"/>
      <c r="F143" s="5" t="s">
        <v>371</v>
      </c>
      <c r="G143" s="5" t="s">
        <v>349</v>
      </c>
    </row>
    <row r="144" customFormat="false" ht="15" hidden="false" customHeight="false" outlineLevel="0" collapsed="false">
      <c r="A144" s="5" t="s">
        <v>551</v>
      </c>
      <c r="B144" s="5" t="s">
        <v>554</v>
      </c>
      <c r="C144" s="5" t="s">
        <v>555</v>
      </c>
      <c r="D144" s="5"/>
      <c r="E144" s="5"/>
      <c r="F144" s="5" t="s">
        <v>371</v>
      </c>
      <c r="G144" s="5" t="s">
        <v>349</v>
      </c>
    </row>
    <row r="145" customFormat="false" ht="15" hidden="false" customHeight="false" outlineLevel="0" collapsed="false">
      <c r="A145" s="5" t="s">
        <v>551</v>
      </c>
      <c r="B145" s="5" t="s">
        <v>556</v>
      </c>
      <c r="C145" s="5" t="s">
        <v>557</v>
      </c>
      <c r="D145" s="5"/>
      <c r="E145" s="5"/>
      <c r="F145" s="5" t="s">
        <v>371</v>
      </c>
      <c r="G145" s="5" t="s">
        <v>349</v>
      </c>
    </row>
    <row r="146" customFormat="false" ht="15" hidden="false" customHeight="false" outlineLevel="0" collapsed="false">
      <c r="A146" s="5" t="s">
        <v>551</v>
      </c>
      <c r="B146" s="5" t="s">
        <v>558</v>
      </c>
      <c r="C146" s="5" t="s">
        <v>559</v>
      </c>
      <c r="D146" s="5"/>
      <c r="E146" s="5"/>
      <c r="F146" s="5" t="s">
        <v>371</v>
      </c>
      <c r="G146" s="5" t="s">
        <v>349</v>
      </c>
    </row>
    <row r="147" customFormat="false" ht="15" hidden="false" customHeight="false" outlineLevel="0" collapsed="false">
      <c r="A147" s="5" t="s">
        <v>551</v>
      </c>
      <c r="B147" s="5" t="s">
        <v>560</v>
      </c>
      <c r="C147" s="5" t="s">
        <v>561</v>
      </c>
      <c r="D147" s="5"/>
      <c r="E147" s="5"/>
      <c r="F147" s="5" t="s">
        <v>371</v>
      </c>
      <c r="G147" s="5" t="s">
        <v>349</v>
      </c>
    </row>
    <row r="148" customFormat="false" ht="15" hidden="false" customHeight="false" outlineLevel="0" collapsed="false">
      <c r="A148" s="5" t="s">
        <v>551</v>
      </c>
      <c r="B148" s="5" t="s">
        <v>562</v>
      </c>
      <c r="C148" s="5" t="s">
        <v>563</v>
      </c>
      <c r="D148" s="5"/>
      <c r="E148" s="5"/>
      <c r="F148" s="5" t="s">
        <v>371</v>
      </c>
      <c r="G148" s="5" t="s">
        <v>349</v>
      </c>
    </row>
    <row r="149" customFormat="false" ht="15" hidden="false" customHeight="false" outlineLevel="0" collapsed="false">
      <c r="A149" s="5" t="s">
        <v>551</v>
      </c>
      <c r="B149" s="5" t="s">
        <v>564</v>
      </c>
      <c r="C149" s="5" t="s">
        <v>565</v>
      </c>
      <c r="D149" s="5"/>
      <c r="E149" s="5"/>
      <c r="F149" s="5" t="s">
        <v>371</v>
      </c>
      <c r="G149" s="5" t="s">
        <v>349</v>
      </c>
    </row>
    <row r="150" customFormat="false" ht="15" hidden="false" customHeight="false" outlineLevel="0" collapsed="false">
      <c r="A150" s="5" t="s">
        <v>551</v>
      </c>
      <c r="B150" s="5" t="s">
        <v>566</v>
      </c>
      <c r="C150" s="5" t="s">
        <v>567</v>
      </c>
      <c r="D150" s="5"/>
      <c r="E150" s="5"/>
      <c r="F150" s="5" t="s">
        <v>371</v>
      </c>
      <c r="G150" s="5" t="s">
        <v>349</v>
      </c>
    </row>
    <row r="151" customFormat="false" ht="15" hidden="false" customHeight="false" outlineLevel="0" collapsed="false">
      <c r="A151" s="5" t="s">
        <v>551</v>
      </c>
      <c r="B151" s="5" t="s">
        <v>568</v>
      </c>
      <c r="C151" s="5" t="s">
        <v>569</v>
      </c>
      <c r="D151" s="5"/>
      <c r="E151" s="5"/>
      <c r="F151" s="5" t="s">
        <v>371</v>
      </c>
      <c r="G151" s="5" t="s">
        <v>349</v>
      </c>
    </row>
    <row r="152" customFormat="false" ht="15" hidden="false" customHeight="false" outlineLevel="0" collapsed="false">
      <c r="A152" s="5" t="s">
        <v>551</v>
      </c>
      <c r="B152" s="5" t="s">
        <v>570</v>
      </c>
      <c r="C152" s="5" t="s">
        <v>571</v>
      </c>
      <c r="D152" s="5"/>
      <c r="E152" s="5"/>
      <c r="F152" s="5" t="s">
        <v>371</v>
      </c>
      <c r="G152" s="5" t="s">
        <v>349</v>
      </c>
    </row>
    <row r="153" customFormat="false" ht="15" hidden="false" customHeight="false" outlineLevel="0" collapsed="false">
      <c r="A153" s="5" t="s">
        <v>551</v>
      </c>
      <c r="B153" s="5" t="s">
        <v>572</v>
      </c>
      <c r="C153" s="5" t="s">
        <v>573</v>
      </c>
      <c r="D153" s="5"/>
      <c r="E153" s="5"/>
      <c r="F153" s="5" t="s">
        <v>371</v>
      </c>
      <c r="G153" s="5" t="s">
        <v>349</v>
      </c>
    </row>
    <row r="154" customFormat="false" ht="15" hidden="false" customHeight="false" outlineLevel="0" collapsed="false">
      <c r="A154" s="5" t="s">
        <v>551</v>
      </c>
      <c r="B154" s="5" t="s">
        <v>574</v>
      </c>
      <c r="C154" s="5" t="s">
        <v>553</v>
      </c>
      <c r="D154" s="5"/>
      <c r="E154" s="5"/>
      <c r="F154" s="5" t="s">
        <v>371</v>
      </c>
      <c r="G154" s="5" t="s">
        <v>349</v>
      </c>
    </row>
    <row r="155" customFormat="false" ht="15" hidden="false" customHeight="false" outlineLevel="0" collapsed="false">
      <c r="A155" s="5" t="s">
        <v>551</v>
      </c>
      <c r="B155" s="5" t="s">
        <v>575</v>
      </c>
      <c r="C155" s="5" t="s">
        <v>555</v>
      </c>
      <c r="D155" s="5"/>
      <c r="E155" s="5"/>
      <c r="F155" s="5" t="s">
        <v>371</v>
      </c>
      <c r="G155" s="5" t="s">
        <v>349</v>
      </c>
    </row>
    <row r="156" customFormat="false" ht="15" hidden="false" customHeight="false" outlineLevel="0" collapsed="false">
      <c r="A156" s="5" t="s">
        <v>551</v>
      </c>
      <c r="B156" s="5" t="s">
        <v>576</v>
      </c>
      <c r="C156" s="5" t="s">
        <v>557</v>
      </c>
      <c r="D156" s="5"/>
      <c r="E156" s="5"/>
      <c r="F156" s="5" t="s">
        <v>371</v>
      </c>
      <c r="G156" s="5" t="s">
        <v>349</v>
      </c>
    </row>
    <row r="157" customFormat="false" ht="15" hidden="false" customHeight="false" outlineLevel="0" collapsed="false">
      <c r="A157" s="5" t="s">
        <v>551</v>
      </c>
      <c r="B157" s="5" t="s">
        <v>577</v>
      </c>
      <c r="C157" s="5" t="s">
        <v>559</v>
      </c>
      <c r="D157" s="5"/>
      <c r="E157" s="5"/>
      <c r="F157" s="5" t="s">
        <v>371</v>
      </c>
      <c r="G157" s="5" t="s">
        <v>349</v>
      </c>
    </row>
    <row r="158" customFormat="false" ht="23.85" hidden="false" customHeight="false" outlineLevel="0" collapsed="false">
      <c r="A158" s="5" t="s">
        <v>551</v>
      </c>
      <c r="B158" s="5" t="s">
        <v>578</v>
      </c>
      <c r="C158" s="5" t="s">
        <v>579</v>
      </c>
      <c r="D158" s="5"/>
      <c r="E158" s="5"/>
      <c r="F158" s="5" t="s">
        <v>371</v>
      </c>
      <c r="G158" s="5" t="s">
        <v>349</v>
      </c>
    </row>
    <row r="159" customFormat="false" ht="15" hidden="false" customHeight="false" outlineLevel="0" collapsed="false">
      <c r="A159" s="5" t="s">
        <v>551</v>
      </c>
      <c r="B159" s="5" t="s">
        <v>580</v>
      </c>
      <c r="C159" s="5" t="s">
        <v>563</v>
      </c>
      <c r="D159" s="5"/>
      <c r="E159" s="5"/>
      <c r="F159" s="5" t="s">
        <v>371</v>
      </c>
      <c r="G159" s="5" t="s">
        <v>349</v>
      </c>
    </row>
    <row r="160" customFormat="false" ht="15" hidden="false" customHeight="false" outlineLevel="0" collapsed="false">
      <c r="A160" s="5" t="s">
        <v>551</v>
      </c>
      <c r="B160" s="5" t="s">
        <v>581</v>
      </c>
      <c r="C160" s="5" t="s">
        <v>565</v>
      </c>
      <c r="D160" s="5"/>
      <c r="E160" s="5"/>
      <c r="F160" s="5" t="s">
        <v>371</v>
      </c>
      <c r="G160" s="5" t="s">
        <v>349</v>
      </c>
    </row>
    <row r="161" customFormat="false" ht="15" hidden="false" customHeight="false" outlineLevel="0" collapsed="false">
      <c r="A161" s="5" t="s">
        <v>551</v>
      </c>
      <c r="B161" s="5" t="s">
        <v>582</v>
      </c>
      <c r="C161" s="5" t="s">
        <v>567</v>
      </c>
      <c r="D161" s="5"/>
      <c r="E161" s="5"/>
      <c r="F161" s="5" t="s">
        <v>371</v>
      </c>
      <c r="G161" s="5" t="s">
        <v>349</v>
      </c>
    </row>
    <row r="162" customFormat="false" ht="15" hidden="false" customHeight="false" outlineLevel="0" collapsed="false">
      <c r="A162" s="5" t="s">
        <v>551</v>
      </c>
      <c r="B162" s="5" t="s">
        <v>583</v>
      </c>
      <c r="C162" s="5" t="s">
        <v>569</v>
      </c>
      <c r="D162" s="5"/>
      <c r="E162" s="5"/>
      <c r="F162" s="5" t="s">
        <v>371</v>
      </c>
      <c r="G162" s="5" t="s">
        <v>349</v>
      </c>
    </row>
    <row r="163" customFormat="false" ht="15" hidden="false" customHeight="false" outlineLevel="0" collapsed="false">
      <c r="A163" s="5" t="s">
        <v>551</v>
      </c>
      <c r="B163" s="5" t="s">
        <v>584</v>
      </c>
      <c r="C163" s="5" t="s">
        <v>571</v>
      </c>
      <c r="D163" s="5"/>
      <c r="E163" s="5"/>
      <c r="F163" s="5" t="s">
        <v>371</v>
      </c>
      <c r="G163" s="5" t="s">
        <v>349</v>
      </c>
    </row>
    <row r="164" customFormat="false" ht="15" hidden="false" customHeight="false" outlineLevel="0" collapsed="false">
      <c r="A164" s="5" t="s">
        <v>551</v>
      </c>
      <c r="B164" s="5" t="s">
        <v>585</v>
      </c>
      <c r="C164" s="5" t="s">
        <v>586</v>
      </c>
      <c r="D164" s="5"/>
      <c r="E164" s="5"/>
      <c r="F164" s="5" t="s">
        <v>371</v>
      </c>
      <c r="G164" s="5" t="s">
        <v>349</v>
      </c>
    </row>
    <row r="165" customFormat="false" ht="15" hidden="false" customHeight="false" outlineLevel="0" collapsed="false">
      <c r="A165" s="5" t="s">
        <v>551</v>
      </c>
      <c r="B165" s="5" t="s">
        <v>587</v>
      </c>
      <c r="C165" s="5" t="s">
        <v>588</v>
      </c>
      <c r="D165" s="5"/>
      <c r="E165" s="5"/>
      <c r="F165" s="5" t="s">
        <v>371</v>
      </c>
      <c r="G165" s="5" t="s">
        <v>349</v>
      </c>
    </row>
    <row r="166" customFormat="false" ht="15" hidden="false" customHeight="false" outlineLevel="0" collapsed="false">
      <c r="A166" s="5" t="s">
        <v>589</v>
      </c>
      <c r="B166" s="5" t="s">
        <v>590</v>
      </c>
      <c r="C166" s="5"/>
      <c r="D166" s="5"/>
      <c r="E166" s="5"/>
      <c r="F166" s="5" t="s">
        <v>591</v>
      </c>
      <c r="G166" s="5" t="s">
        <v>349</v>
      </c>
    </row>
    <row r="167" customFormat="false" ht="15" hidden="false" customHeight="false" outlineLevel="0" collapsed="false">
      <c r="A167" s="5" t="s">
        <v>592</v>
      </c>
      <c r="B167" s="5" t="s">
        <v>593</v>
      </c>
      <c r="C167" s="5"/>
      <c r="D167" s="5"/>
      <c r="E167" s="5"/>
      <c r="F167" s="5" t="s">
        <v>594</v>
      </c>
      <c r="G167" s="5" t="s">
        <v>349</v>
      </c>
    </row>
    <row r="168" customFormat="false" ht="15" hidden="false" customHeight="false" outlineLevel="0" collapsed="false">
      <c r="A168" s="5" t="s">
        <v>319</v>
      </c>
      <c r="B168" s="5" t="s">
        <v>595</v>
      </c>
      <c r="C168" s="5"/>
      <c r="D168" s="5"/>
      <c r="E168" s="5"/>
      <c r="F168" s="5" t="s">
        <v>596</v>
      </c>
      <c r="G168" s="5"/>
    </row>
    <row r="169" customFormat="false" ht="15" hidden="false" customHeight="false" outlineLevel="0" collapsed="false">
      <c r="A169" s="5" t="s">
        <v>322</v>
      </c>
      <c r="B169" s="5" t="s">
        <v>595</v>
      </c>
      <c r="C169" s="5"/>
      <c r="D169" s="5"/>
      <c r="E169" s="5"/>
      <c r="F169" s="5" t="s">
        <v>596</v>
      </c>
      <c r="G169" s="5"/>
    </row>
  </sheetData>
  <autoFilter ref="A1:G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14"/>
    <col collapsed="false" customWidth="true" hidden="false" outlineLevel="0" max="4" min="4" style="0" width="18"/>
    <col collapsed="false" customWidth="true" hidden="false" outlineLevel="0" max="5" min="5" style="0" width="8"/>
    <col collapsed="false" customWidth="true" hidden="false" outlineLevel="0" max="6" min="6" style="0" width="13"/>
    <col collapsed="false" customWidth="true" hidden="false" outlineLevel="0" max="7" min="7" style="0" width="30"/>
    <col collapsed="false" customWidth="true" hidden="false" outlineLevel="0" max="8" min="8" style="0" width="16"/>
    <col collapsed="false" customWidth="true" hidden="false" outlineLevel="0" max="10" min="9" style="0" width="10"/>
    <col collapsed="false" customWidth="true" hidden="false" outlineLevel="0" max="11" min="11" style="0" width="16"/>
  </cols>
  <sheetData>
    <row r="1" customFormat="false" ht="30" hidden="false" customHeight="true" outlineLevel="0" collapsed="false">
      <c r="A1" s="4" t="s">
        <v>597</v>
      </c>
      <c r="B1" s="4" t="s">
        <v>598</v>
      </c>
      <c r="C1" s="4" t="s">
        <v>599</v>
      </c>
      <c r="D1" s="4" t="s">
        <v>600</v>
      </c>
      <c r="E1" s="4" t="s">
        <v>133</v>
      </c>
      <c r="F1" s="4" t="s">
        <v>601</v>
      </c>
      <c r="G1" s="4" t="s">
        <v>602</v>
      </c>
      <c r="H1" s="4" t="s">
        <v>603</v>
      </c>
      <c r="I1" s="4" t="s">
        <v>604</v>
      </c>
      <c r="J1" s="4" t="s">
        <v>605</v>
      </c>
      <c r="K1" s="4" t="s">
        <v>606</v>
      </c>
    </row>
    <row r="2" customFormat="false" ht="15" hidden="false" customHeight="false" outlineLevel="0" collapsed="false">
      <c r="A2" s="5" t="s">
        <v>426</v>
      </c>
      <c r="B2" s="5" t="s">
        <v>607</v>
      </c>
      <c r="C2" s="5"/>
      <c r="D2" s="5" t="s">
        <v>608</v>
      </c>
      <c r="E2" s="5" t="s">
        <v>414</v>
      </c>
      <c r="F2" s="5" t="s">
        <v>609</v>
      </c>
      <c r="G2" s="5" t="s">
        <v>610</v>
      </c>
      <c r="H2" s="5" t="s">
        <v>611</v>
      </c>
      <c r="I2" s="5"/>
      <c r="J2" s="5" t="n">
        <v>1</v>
      </c>
      <c r="K2" s="5" t="s">
        <v>612</v>
      </c>
    </row>
    <row r="3" customFormat="false" ht="15" hidden="false" customHeight="false" outlineLevel="0" collapsed="false">
      <c r="A3" s="5" t="s">
        <v>428</v>
      </c>
      <c r="B3" s="5" t="s">
        <v>613</v>
      </c>
      <c r="C3" s="5"/>
      <c r="D3" s="5" t="s">
        <v>614</v>
      </c>
      <c r="E3" s="5" t="s">
        <v>287</v>
      </c>
      <c r="F3" s="5" t="s">
        <v>615</v>
      </c>
      <c r="G3" s="5" t="s">
        <v>616</v>
      </c>
      <c r="H3" s="5" t="s">
        <v>617</v>
      </c>
      <c r="I3" s="5"/>
      <c r="J3" s="5" t="n">
        <v>1</v>
      </c>
      <c r="K3" s="5" t="s">
        <v>618</v>
      </c>
    </row>
    <row r="4" customFormat="false" ht="15" hidden="false" customHeight="false" outlineLevel="0" collapsed="false">
      <c r="A4" s="5" t="s">
        <v>430</v>
      </c>
      <c r="B4" s="5" t="s">
        <v>619</v>
      </c>
      <c r="C4" s="5"/>
      <c r="D4" s="5" t="s">
        <v>620</v>
      </c>
      <c r="E4" s="5" t="s">
        <v>413</v>
      </c>
      <c r="F4" s="5" t="s">
        <v>621</v>
      </c>
      <c r="G4" s="5" t="s">
        <v>622</v>
      </c>
      <c r="H4" s="5" t="s">
        <v>623</v>
      </c>
      <c r="I4" s="5"/>
      <c r="J4" s="5" t="n">
        <v>1</v>
      </c>
      <c r="K4" s="5" t="s">
        <v>624</v>
      </c>
    </row>
    <row r="5" customFormat="false" ht="15" hidden="false" customHeight="false" outlineLevel="0" collapsed="false">
      <c r="A5" s="5" t="s">
        <v>432</v>
      </c>
      <c r="B5" s="5" t="s">
        <v>625</v>
      </c>
      <c r="C5" s="5"/>
      <c r="D5" s="5" t="s">
        <v>626</v>
      </c>
      <c r="E5" s="5" t="s">
        <v>414</v>
      </c>
      <c r="F5" s="5" t="s">
        <v>627</v>
      </c>
      <c r="G5" s="5" t="s">
        <v>628</v>
      </c>
      <c r="H5" s="5" t="s">
        <v>629</v>
      </c>
      <c r="I5" s="5"/>
      <c r="J5" s="5" t="n">
        <v>1</v>
      </c>
      <c r="K5" s="5" t="s">
        <v>630</v>
      </c>
    </row>
  </sheetData>
  <autoFilter ref="A1: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4" min="3" style="0" width="12"/>
    <col collapsed="false" customWidth="true" hidden="false" outlineLevel="0" max="5" min="5" style="0" width="24"/>
    <col collapsed="false" customWidth="true" hidden="false" outlineLevel="0" max="6" min="6" style="0" width="18"/>
    <col collapsed="false" customWidth="true" hidden="false" outlineLevel="0" max="7" min="7" style="0" width="8"/>
    <col collapsed="false" customWidth="true" hidden="false" outlineLevel="0" max="8" min="8" style="0" width="12"/>
    <col collapsed="false" customWidth="true" hidden="false" outlineLevel="0" max="9" min="9" style="0" width="7"/>
    <col collapsed="false" customWidth="true" hidden="false" outlineLevel="0" max="10" min="10" style="0" width="9"/>
    <col collapsed="false" customWidth="true" hidden="false" outlineLevel="0" max="11" min="11" style="0" width="32"/>
    <col collapsed="false" customWidth="true" hidden="false" outlineLevel="0" max="12" min="12" style="0" width="15"/>
    <col collapsed="false" customWidth="true" hidden="false" outlineLevel="0" max="13" min="13" style="0" width="8"/>
    <col collapsed="false" customWidth="true" hidden="false" outlineLevel="0" max="14" min="14" style="0" width="10"/>
    <col collapsed="false" customWidth="true" hidden="false" outlineLevel="0" max="15" min="15" style="0" width="45"/>
  </cols>
  <sheetData>
    <row r="1" customFormat="false" ht="30" hidden="false" customHeight="true" outlineLevel="0" collapsed="false">
      <c r="A1" s="4" t="s">
        <v>631</v>
      </c>
      <c r="B1" s="4" t="s">
        <v>632</v>
      </c>
      <c r="C1" s="4" t="s">
        <v>70</v>
      </c>
      <c r="D1" s="4" t="s">
        <v>78</v>
      </c>
      <c r="E1" s="4" t="s">
        <v>633</v>
      </c>
      <c r="F1" s="4" t="s">
        <v>634</v>
      </c>
      <c r="G1" s="4" t="s">
        <v>635</v>
      </c>
      <c r="H1" s="4" t="s">
        <v>636</v>
      </c>
      <c r="I1" s="4" t="s">
        <v>637</v>
      </c>
      <c r="J1" s="4" t="s">
        <v>137</v>
      </c>
      <c r="K1" s="4" t="s">
        <v>142</v>
      </c>
      <c r="L1" s="4" t="s">
        <v>147</v>
      </c>
      <c r="M1" s="4" t="s">
        <v>638</v>
      </c>
      <c r="N1" s="4" t="s">
        <v>605</v>
      </c>
      <c r="O1" s="4" t="s">
        <v>639</v>
      </c>
    </row>
    <row r="2" customFormat="false" ht="23.85" hidden="false" customHeight="false" outlineLevel="0" collapsed="false">
      <c r="A2" s="5" t="s">
        <v>175</v>
      </c>
      <c r="B2" s="5" t="s">
        <v>356</v>
      </c>
      <c r="C2" s="5" t="s">
        <v>640</v>
      </c>
      <c r="D2" s="5" t="s">
        <v>641</v>
      </c>
      <c r="E2" s="5"/>
      <c r="F2" s="5" t="s">
        <v>642</v>
      </c>
      <c r="G2" s="5"/>
      <c r="H2" s="5" t="s">
        <v>643</v>
      </c>
      <c r="I2" s="5" t="s">
        <v>287</v>
      </c>
      <c r="J2" s="5" t="s">
        <v>644</v>
      </c>
      <c r="K2" s="5" t="s">
        <v>645</v>
      </c>
      <c r="L2" s="5" t="s">
        <v>646</v>
      </c>
      <c r="M2" s="5"/>
      <c r="N2" s="5" t="n">
        <v>3</v>
      </c>
      <c r="O2" s="5" t="s">
        <v>647</v>
      </c>
    </row>
    <row r="3" customFormat="false" ht="15" hidden="false" customHeight="false" outlineLevel="0" collapsed="false">
      <c r="A3" s="5" t="s">
        <v>435</v>
      </c>
      <c r="B3" s="5" t="s">
        <v>355</v>
      </c>
      <c r="C3" s="5" t="s">
        <v>648</v>
      </c>
      <c r="D3" s="5" t="s">
        <v>649</v>
      </c>
      <c r="E3" s="5" t="s">
        <v>650</v>
      </c>
      <c r="F3" s="5" t="s">
        <v>642</v>
      </c>
      <c r="G3" s="5"/>
      <c r="H3" s="5" t="s">
        <v>643</v>
      </c>
      <c r="I3" s="5" t="s">
        <v>287</v>
      </c>
      <c r="J3" s="5" t="s">
        <v>644</v>
      </c>
      <c r="K3" s="5" t="s">
        <v>645</v>
      </c>
      <c r="L3" s="5" t="s">
        <v>646</v>
      </c>
      <c r="M3" s="5"/>
      <c r="N3" s="5" t="n">
        <v>1</v>
      </c>
      <c r="O3" s="5"/>
    </row>
  </sheetData>
  <autoFilter ref="A1:O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1"/>
    <col collapsed="false" customWidth="true" hidden="false" outlineLevel="0" max="6" min="4" style="0" width="12"/>
    <col collapsed="false" customWidth="true" hidden="false" outlineLevel="0" max="7" min="7" style="0" width="24"/>
    <col collapsed="false" customWidth="true" hidden="false" outlineLevel="0" max="8" min="8" style="0" width="16"/>
  </cols>
  <sheetData>
    <row r="1" customFormat="false" ht="30" hidden="false" customHeight="true" outlineLevel="0" collapsed="false">
      <c r="A1" s="4" t="s">
        <v>651</v>
      </c>
      <c r="B1" s="4" t="s">
        <v>652</v>
      </c>
      <c r="C1" s="4" t="s">
        <v>605</v>
      </c>
      <c r="D1" s="4" t="s">
        <v>653</v>
      </c>
      <c r="E1" s="4" t="s">
        <v>654</v>
      </c>
      <c r="F1" s="4" t="s">
        <v>655</v>
      </c>
      <c r="G1" s="4" t="s">
        <v>656</v>
      </c>
      <c r="H1" s="4" t="s">
        <v>345</v>
      </c>
    </row>
    <row r="2" customFormat="false" ht="15" hidden="false" customHeight="false" outlineLevel="0" collapsed="false">
      <c r="A2" s="5" t="s">
        <v>440</v>
      </c>
      <c r="B2" s="5" t="s">
        <v>441</v>
      </c>
      <c r="C2" s="5" t="n">
        <f aca="false">COUNTIF('Observed lines'!$F$2:$F$36,A2)</f>
        <v>3</v>
      </c>
      <c r="D2" s="5" t="n">
        <f aca="false">COUNTIFS('Observed lines'!$F$2:$F$36,A2,'Observed lines'!$G$2:$G$36,"&lt;&gt;")</f>
        <v>2</v>
      </c>
      <c r="E2" s="6" t="n">
        <f aca="false">IF(D2=0,"",_xlfn.MINIFS('Observed lines'!$G$2:$G$36,'Observed lines'!$F$2:$F$36,A2))</f>
        <v>250.3</v>
      </c>
      <c r="F2" s="6" t="n">
        <f aca="false">IF(D2=0,"",_xlfn.MAXIFS('Observed lines'!$G$2:$G$36,'Observed lines'!$F$2:$F$36,A2))</f>
        <v>1052.46</v>
      </c>
      <c r="G2" s="5" t="str">
        <f aca="false">IF(D2=0,"none seen",IF(E2=F2,TEXT(E2,"$#,##0.00"),TEXT(E2,"$#,##0.00")&amp;" – "&amp;TEXT(F2,"$#,##0.00")))</f>
        <v>$250.30 – $1,052.46</v>
      </c>
      <c r="H2" s="5" t="s">
        <v>657</v>
      </c>
    </row>
    <row r="3" customFormat="false" ht="15" hidden="false" customHeight="false" outlineLevel="0" collapsed="false">
      <c r="A3" s="5" t="s">
        <v>443</v>
      </c>
      <c r="B3" s="5" t="s">
        <v>444</v>
      </c>
      <c r="C3" s="5" t="n">
        <f aca="false">COUNTIF('Observed lines'!$F$2:$F$36,A3)</f>
        <v>1</v>
      </c>
      <c r="D3" s="5" t="n">
        <f aca="false">COUNTIFS('Observed lines'!$F$2:$F$36,A3,'Observed lines'!$G$2:$G$36,"&lt;&gt;")</f>
        <v>1</v>
      </c>
      <c r="E3" s="6" t="n">
        <f aca="false">IF(D3=0,"",_xlfn.MINIFS('Observed lines'!$G$2:$G$36,'Observed lines'!$F$2:$F$36,A3))</f>
        <v>775.52</v>
      </c>
      <c r="F3" s="6" t="n">
        <f aca="false">IF(D3=0,"",_xlfn.MAXIFS('Observed lines'!$G$2:$G$36,'Observed lines'!$F$2:$F$36,A3))</f>
        <v>775.52</v>
      </c>
      <c r="G3" s="5" t="str">
        <f aca="false">IF(D3=0,"none seen",IF(E3=F3,TEXT(E3,"$#,##0.00"),TEXT(E3,"$#,##0.00")&amp;" – "&amp;TEXT(F3,"$#,##0.00")))</f>
        <v>$775.52</v>
      </c>
      <c r="H3" s="5" t="s">
        <v>657</v>
      </c>
    </row>
    <row r="4" customFormat="false" ht="15" hidden="false" customHeight="false" outlineLevel="0" collapsed="false">
      <c r="A4" s="5" t="s">
        <v>446</v>
      </c>
      <c r="B4" s="5" t="s">
        <v>447</v>
      </c>
      <c r="C4" s="5" t="n">
        <f aca="false">COUNTIF('Observed lines'!$F$2:$F$36,A4)</f>
        <v>1</v>
      </c>
      <c r="D4" s="5" t="n">
        <f aca="false">COUNTIFS('Observed lines'!$F$2:$F$36,A4,'Observed lines'!$G$2:$G$36,"&lt;&gt;")</f>
        <v>1</v>
      </c>
      <c r="E4" s="6" t="n">
        <f aca="false">IF(D4=0,"",_xlfn.MINIFS('Observed lines'!$G$2:$G$36,'Observed lines'!$F$2:$F$36,A4))</f>
        <v>96.71</v>
      </c>
      <c r="F4" s="6" t="n">
        <f aca="false">IF(D4=0,"",_xlfn.MAXIFS('Observed lines'!$G$2:$G$36,'Observed lines'!$F$2:$F$36,A4))</f>
        <v>96.71</v>
      </c>
      <c r="G4" s="5" t="str">
        <f aca="false">IF(D4=0,"none seen",IF(E4=F4,TEXT(E4,"$#,##0.00"),TEXT(E4,"$#,##0.00")&amp;" – "&amp;TEXT(F4,"$#,##0.00")))</f>
        <v>$96.71</v>
      </c>
      <c r="H4" s="5" t="s">
        <v>657</v>
      </c>
    </row>
    <row r="5" customFormat="false" ht="15" hidden="false" customHeight="false" outlineLevel="0" collapsed="false">
      <c r="A5" s="5" t="s">
        <v>449</v>
      </c>
      <c r="B5" s="5" t="s">
        <v>450</v>
      </c>
      <c r="C5" s="5" t="n">
        <f aca="false">COUNTIF('Observed lines'!$F$2:$F$36,A5)</f>
        <v>1</v>
      </c>
      <c r="D5" s="5" t="n">
        <f aca="false">COUNTIFS('Observed lines'!$F$2:$F$36,A5,'Observed lines'!$G$2:$G$36,"&lt;&gt;")</f>
        <v>1</v>
      </c>
      <c r="E5" s="6" t="n">
        <f aca="false">IF(D5=0,"",_xlfn.MINIFS('Observed lines'!$G$2:$G$36,'Observed lines'!$F$2:$F$36,A5))</f>
        <v>25.34</v>
      </c>
      <c r="F5" s="6" t="n">
        <f aca="false">IF(D5=0,"",_xlfn.MAXIFS('Observed lines'!$G$2:$G$36,'Observed lines'!$F$2:$F$36,A5))</f>
        <v>25.34</v>
      </c>
      <c r="G5" s="5" t="str">
        <f aca="false">IF(D5=0,"none seen",IF(E5=F5,TEXT(E5,"$#,##0.00"),TEXT(E5,"$#,##0.00")&amp;" – "&amp;TEXT(F5,"$#,##0.00")))</f>
        <v>$25.34</v>
      </c>
      <c r="H5" s="5" t="s">
        <v>657</v>
      </c>
    </row>
    <row r="6" customFormat="false" ht="15" hidden="false" customHeight="false" outlineLevel="0" collapsed="false">
      <c r="A6" s="5" t="s">
        <v>452</v>
      </c>
      <c r="B6" s="5" t="s">
        <v>441</v>
      </c>
      <c r="C6" s="5" t="n">
        <f aca="false">COUNTIF('Observed lines'!$F$2:$F$36,A6)</f>
        <v>1</v>
      </c>
      <c r="D6" s="5" t="n">
        <f aca="false">COUNTIFS('Observed lines'!$F$2:$F$36,A6,'Observed lines'!$G$2:$G$36,"&lt;&gt;")</f>
        <v>1</v>
      </c>
      <c r="E6" s="6" t="n">
        <f aca="false">IF(D6=0,"",_xlfn.MINIFS('Observed lines'!$G$2:$G$36,'Observed lines'!$F$2:$F$36,A6))</f>
        <v>905.44</v>
      </c>
      <c r="F6" s="6" t="n">
        <f aca="false">IF(D6=0,"",_xlfn.MAXIFS('Observed lines'!$G$2:$G$36,'Observed lines'!$F$2:$F$36,A6))</f>
        <v>905.44</v>
      </c>
      <c r="G6" s="5" t="str">
        <f aca="false">IF(D6=0,"none seen",IF(E6=F6,TEXT(E6,"$#,##0.00"),TEXT(E6,"$#,##0.00")&amp;" – "&amp;TEXT(F6,"$#,##0.00")))</f>
        <v>$905.44</v>
      </c>
      <c r="H6" s="5" t="s">
        <v>657</v>
      </c>
    </row>
    <row r="7" customFormat="false" ht="15" hidden="false" customHeight="false" outlineLevel="0" collapsed="false">
      <c r="A7" s="5" t="s">
        <v>453</v>
      </c>
      <c r="B7" s="5" t="s">
        <v>454</v>
      </c>
      <c r="C7" s="5" t="n">
        <f aca="false">COUNTIF('Observed lines'!$F$2:$F$36,A7)</f>
        <v>2</v>
      </c>
      <c r="D7" s="5" t="n">
        <f aca="false">COUNTIFS('Observed lines'!$F$2:$F$36,A7,'Observed lines'!$G$2:$G$36,"&lt;&gt;")</f>
        <v>2</v>
      </c>
      <c r="E7" s="6" t="n">
        <f aca="false">IF(D7=0,"",_xlfn.MINIFS('Observed lines'!$G$2:$G$36,'Observed lines'!$F$2:$F$36,A7))</f>
        <v>29.41</v>
      </c>
      <c r="F7" s="6" t="n">
        <f aca="false">IF(D7=0,"",_xlfn.MAXIFS('Observed lines'!$G$2:$G$36,'Observed lines'!$F$2:$F$36,A7))</f>
        <v>143.2</v>
      </c>
      <c r="G7" s="5" t="str">
        <f aca="false">IF(D7=0,"none seen",IF(E7=F7,TEXT(E7,"$#,##0.00"),TEXT(E7,"$#,##0.00")&amp;" – "&amp;TEXT(F7,"$#,##0.00")))</f>
        <v>$29.41 – $143.20</v>
      </c>
      <c r="H7" s="5" t="s">
        <v>657</v>
      </c>
    </row>
    <row r="8" customFormat="false" ht="15" hidden="false" customHeight="false" outlineLevel="0" collapsed="false">
      <c r="A8" s="5" t="s">
        <v>456</v>
      </c>
      <c r="B8" s="5" t="s">
        <v>457</v>
      </c>
      <c r="C8" s="5" t="n">
        <f aca="false">COUNTIF('Observed lines'!$F$2:$F$36,A8)</f>
        <v>1</v>
      </c>
      <c r="D8" s="5" t="n">
        <f aca="false">COUNTIFS('Observed lines'!$F$2:$F$36,A8,'Observed lines'!$G$2:$G$36,"&lt;&gt;")</f>
        <v>1</v>
      </c>
      <c r="E8" s="6" t="n">
        <f aca="false">IF(D8=0,"",_xlfn.MINIFS('Observed lines'!$G$2:$G$36,'Observed lines'!$F$2:$F$36,A8))</f>
        <v>447.17</v>
      </c>
      <c r="F8" s="6" t="n">
        <f aca="false">IF(D8=0,"",_xlfn.MAXIFS('Observed lines'!$G$2:$G$36,'Observed lines'!$F$2:$F$36,A8))</f>
        <v>447.17</v>
      </c>
      <c r="G8" s="5" t="str">
        <f aca="false">IF(D8=0,"none seen",IF(E8=F8,TEXT(E8,"$#,##0.00"),TEXT(E8,"$#,##0.00")&amp;" – "&amp;TEXT(F8,"$#,##0.00")))</f>
        <v>$447.17</v>
      </c>
      <c r="H8" s="5" t="s">
        <v>657</v>
      </c>
    </row>
    <row r="9" customFormat="false" ht="15" hidden="false" customHeight="false" outlineLevel="0" collapsed="false">
      <c r="A9" s="5" t="s">
        <v>459</v>
      </c>
      <c r="B9" s="5" t="s">
        <v>460</v>
      </c>
      <c r="C9" s="5" t="n">
        <f aca="false">COUNTIF('Observed lines'!$F$2:$F$36,A9)</f>
        <v>2</v>
      </c>
      <c r="D9" s="5" t="n">
        <f aca="false">COUNTIFS('Observed lines'!$F$2:$F$36,A9,'Observed lines'!$G$2:$G$36,"&lt;&gt;")</f>
        <v>2</v>
      </c>
      <c r="E9" s="6" t="n">
        <f aca="false">IF(D9=0,"",_xlfn.MINIFS('Observed lines'!$G$2:$G$36,'Observed lines'!$F$2:$F$36,A9))</f>
        <v>2.12</v>
      </c>
      <c r="F9" s="6" t="n">
        <f aca="false">IF(D9=0,"",_xlfn.MAXIFS('Observed lines'!$G$2:$G$36,'Observed lines'!$F$2:$F$36,A9))</f>
        <v>10.32</v>
      </c>
      <c r="G9" s="5" t="str">
        <f aca="false">IF(D9=0,"none seen",IF(E9=F9,TEXT(E9,"$#,##0.00"),TEXT(E9,"$#,##0.00")&amp;" – "&amp;TEXT(F9,"$#,##0.00")))</f>
        <v>$2.12 – $10.32</v>
      </c>
      <c r="H9" s="5" t="s">
        <v>657</v>
      </c>
    </row>
    <row r="10" customFormat="false" ht="15" hidden="false" customHeight="false" outlineLevel="0" collapsed="false">
      <c r="A10" s="5" t="s">
        <v>462</v>
      </c>
      <c r="B10" s="5" t="s">
        <v>463</v>
      </c>
      <c r="C10" s="5" t="n">
        <f aca="false">COUNTIF('Observed lines'!$F$2:$F$36,A10)</f>
        <v>2</v>
      </c>
      <c r="D10" s="5" t="n">
        <f aca="false">COUNTIFS('Observed lines'!$F$2:$F$36,A10,'Observed lines'!$G$2:$G$36,"&lt;&gt;")</f>
        <v>2</v>
      </c>
      <c r="E10" s="6" t="n">
        <f aca="false">IF(D10=0,"",_xlfn.MINIFS('Observed lines'!$G$2:$G$36,'Observed lines'!$F$2:$F$36,A10))</f>
        <v>1.34</v>
      </c>
      <c r="F10" s="6" t="n">
        <f aca="false">IF(D10=0,"",_xlfn.MAXIFS('Observed lines'!$G$2:$G$36,'Observed lines'!$F$2:$F$36,A10))</f>
        <v>6.5</v>
      </c>
      <c r="G10" s="5" t="str">
        <f aca="false">IF(D10=0,"none seen",IF(E10=F10,TEXT(E10,"$#,##0.00"),TEXT(E10,"$#,##0.00")&amp;" – "&amp;TEXT(F10,"$#,##0.00")))</f>
        <v>$1.34 – $6.50</v>
      </c>
      <c r="H10" s="5" t="s">
        <v>657</v>
      </c>
    </row>
    <row r="11" customFormat="false" ht="15" hidden="false" customHeight="false" outlineLevel="0" collapsed="false">
      <c r="A11" s="5" t="s">
        <v>465</v>
      </c>
      <c r="B11" s="5" t="s">
        <v>466</v>
      </c>
      <c r="C11" s="5" t="n">
        <f aca="false">COUNTIF('Observed lines'!$F$2:$F$36,A11)</f>
        <v>1</v>
      </c>
      <c r="D11" s="5" t="n">
        <f aca="false">COUNTIFS('Observed lines'!$F$2:$F$36,A11,'Observed lines'!$G$2:$G$36,"&lt;&gt;")</f>
        <v>1</v>
      </c>
      <c r="E11" s="6" t="n">
        <f aca="false">IF(D11=0,"",_xlfn.MINIFS('Observed lines'!$G$2:$G$36,'Observed lines'!$F$2:$F$36,A11))</f>
        <v>28.87</v>
      </c>
      <c r="F11" s="6" t="n">
        <f aca="false">IF(D11=0,"",_xlfn.MAXIFS('Observed lines'!$G$2:$G$36,'Observed lines'!$F$2:$F$36,A11))</f>
        <v>28.87</v>
      </c>
      <c r="G11" s="5" t="str">
        <f aca="false">IF(D11=0,"none seen",IF(E11=F11,TEXT(E11,"$#,##0.00"),TEXT(E11,"$#,##0.00")&amp;" – "&amp;TEXT(F11,"$#,##0.00")))</f>
        <v>$28.87</v>
      </c>
      <c r="H11" s="5" t="s">
        <v>657</v>
      </c>
    </row>
    <row r="12" customFormat="false" ht="15" hidden="false" customHeight="false" outlineLevel="0" collapsed="false">
      <c r="A12" s="5" t="s">
        <v>468</v>
      </c>
      <c r="B12" s="5" t="s">
        <v>469</v>
      </c>
      <c r="C12" s="5" t="n">
        <f aca="false">COUNTIF('Observed lines'!$F$2:$F$36,A12)</f>
        <v>1</v>
      </c>
      <c r="D12" s="5" t="n">
        <f aca="false">COUNTIFS('Observed lines'!$F$2:$F$36,A12,'Observed lines'!$G$2:$G$36,"&lt;&gt;")</f>
        <v>1</v>
      </c>
      <c r="E12" s="6" t="n">
        <f aca="false">IF(D12=0,"",_xlfn.MINIFS('Observed lines'!$G$2:$G$36,'Observed lines'!$F$2:$F$36,A12))</f>
        <v>1.91</v>
      </c>
      <c r="F12" s="6" t="n">
        <f aca="false">IF(D12=0,"",_xlfn.MAXIFS('Observed lines'!$G$2:$G$36,'Observed lines'!$F$2:$F$36,A12))</f>
        <v>1.91</v>
      </c>
      <c r="G12" s="5" t="str">
        <f aca="false">IF(D12=0,"none seen",IF(E12=F12,TEXT(E12,"$#,##0.00"),TEXT(E12,"$#,##0.00")&amp;" – "&amp;TEXT(F12,"$#,##0.00")))</f>
        <v>$1.91</v>
      </c>
      <c r="H12" s="5" t="s">
        <v>657</v>
      </c>
    </row>
    <row r="13" customFormat="false" ht="23.85" hidden="false" customHeight="false" outlineLevel="0" collapsed="false">
      <c r="A13" s="5" t="s">
        <v>471</v>
      </c>
      <c r="B13" s="5" t="s">
        <v>472</v>
      </c>
      <c r="C13" s="5" t="n">
        <f aca="false">COUNTIF('Observed lines'!$F$2:$F$36,A13)</f>
        <v>1</v>
      </c>
      <c r="D13" s="5" t="n">
        <f aca="false">COUNTIFS('Observed lines'!$F$2:$F$36,A13,'Observed lines'!$G$2:$G$36,"&lt;&gt;")</f>
        <v>1</v>
      </c>
      <c r="E13" s="6" t="n">
        <f aca="false">IF(D13=0,"",_xlfn.MINIFS('Observed lines'!$G$2:$G$36,'Observed lines'!$F$2:$F$36,A13))</f>
        <v>37.78</v>
      </c>
      <c r="F13" s="6" t="n">
        <f aca="false">IF(D13=0,"",_xlfn.MAXIFS('Observed lines'!$G$2:$G$36,'Observed lines'!$F$2:$F$36,A13))</f>
        <v>37.78</v>
      </c>
      <c r="G13" s="5" t="str">
        <f aca="false">IF(D13=0,"none seen",IF(E13=F13,TEXT(E13,"$#,##0.00"),TEXT(E13,"$#,##0.00")&amp;" – "&amp;TEXT(F13,"$#,##0.00")))</f>
        <v>$37.78</v>
      </c>
      <c r="H13" s="5" t="s">
        <v>657</v>
      </c>
    </row>
    <row r="14" customFormat="false" ht="15" hidden="false" customHeight="false" outlineLevel="0" collapsed="false">
      <c r="A14" s="5" t="s">
        <v>474</v>
      </c>
      <c r="B14" s="5" t="s">
        <v>475</v>
      </c>
      <c r="C14" s="5" t="n">
        <f aca="false">COUNTIF('Observed lines'!$F$2:$F$36,A14)</f>
        <v>2</v>
      </c>
      <c r="D14" s="5" t="n">
        <f aca="false">COUNTIFS('Observed lines'!$F$2:$F$36,A14,'Observed lines'!$G$2:$G$36,"&lt;&gt;")</f>
        <v>1</v>
      </c>
      <c r="E14" s="6" t="n">
        <f aca="false">IF(D14=0,"",_xlfn.MINIFS('Observed lines'!$G$2:$G$36,'Observed lines'!$F$2:$F$36,A14))</f>
        <v>17.04</v>
      </c>
      <c r="F14" s="6" t="n">
        <f aca="false">IF(D14=0,"",_xlfn.MAXIFS('Observed lines'!$G$2:$G$36,'Observed lines'!$F$2:$F$36,A14))</f>
        <v>17.04</v>
      </c>
      <c r="G14" s="5" t="str">
        <f aca="false">IF(D14=0,"none seen",IF(E14=F14,TEXT(E14,"$#,##0.00"),TEXT(E14,"$#,##0.00")&amp;" – "&amp;TEXT(F14,"$#,##0.00")))</f>
        <v>$17.04</v>
      </c>
      <c r="H14" s="5" t="s">
        <v>657</v>
      </c>
    </row>
    <row r="15" customFormat="false" ht="15" hidden="false" customHeight="false" outlineLevel="0" collapsed="false">
      <c r="A15" s="5" t="s">
        <v>477</v>
      </c>
      <c r="B15" s="5" t="s">
        <v>478</v>
      </c>
      <c r="C15" s="5" t="n">
        <f aca="false">COUNTIF('Observed lines'!$F$2:$F$36,A15)</f>
        <v>1</v>
      </c>
      <c r="D15" s="5" t="n">
        <f aca="false">COUNTIFS('Observed lines'!$F$2:$F$36,A15,'Observed lines'!$G$2:$G$36,"&lt;&gt;")</f>
        <v>1</v>
      </c>
      <c r="E15" s="6" t="n">
        <f aca="false">IF(D15=0,"",_xlfn.MINIFS('Observed lines'!$G$2:$G$36,'Observed lines'!$F$2:$F$36,A15))</f>
        <v>374.66</v>
      </c>
      <c r="F15" s="6" t="n">
        <f aca="false">IF(D15=0,"",_xlfn.MAXIFS('Observed lines'!$G$2:$G$36,'Observed lines'!$F$2:$F$36,A15))</f>
        <v>374.66</v>
      </c>
      <c r="G15" s="5" t="str">
        <f aca="false">IF(D15=0,"none seen",IF(E15=F15,TEXT(E15,"$#,##0.00"),TEXT(E15,"$#,##0.00")&amp;" – "&amp;TEXT(F15,"$#,##0.00")))</f>
        <v>$374.66</v>
      </c>
      <c r="H15" s="5" t="s">
        <v>657</v>
      </c>
    </row>
    <row r="16" customFormat="false" ht="15" hidden="false" customHeight="false" outlineLevel="0" collapsed="false">
      <c r="A16" s="5" t="s">
        <v>480</v>
      </c>
      <c r="B16" s="5" t="s">
        <v>481</v>
      </c>
      <c r="C16" s="5" t="n">
        <f aca="false">COUNTIF('Observed lines'!$F$2:$F$36,A16)</f>
        <v>1</v>
      </c>
      <c r="D16" s="5" t="n">
        <f aca="false">COUNTIFS('Observed lines'!$F$2:$F$36,A16,'Observed lines'!$G$2:$G$36,"&lt;&gt;")</f>
        <v>1</v>
      </c>
      <c r="E16" s="6" t="n">
        <f aca="false">IF(D16=0,"",_xlfn.MINIFS('Observed lines'!$G$2:$G$36,'Observed lines'!$F$2:$F$36,A16))</f>
        <v>348.35</v>
      </c>
      <c r="F16" s="6" t="n">
        <f aca="false">IF(D16=0,"",_xlfn.MAXIFS('Observed lines'!$G$2:$G$36,'Observed lines'!$F$2:$F$36,A16))</f>
        <v>348.35</v>
      </c>
      <c r="G16" s="5" t="str">
        <f aca="false">IF(D16=0,"none seen",IF(E16=F16,TEXT(E16,"$#,##0.00"),TEXT(E16,"$#,##0.00")&amp;" – "&amp;TEXT(F16,"$#,##0.00")))</f>
        <v>$348.35</v>
      </c>
      <c r="H16" s="5" t="s">
        <v>657</v>
      </c>
    </row>
    <row r="17" customFormat="false" ht="15" hidden="false" customHeight="false" outlineLevel="0" collapsed="false">
      <c r="A17" s="5" t="s">
        <v>483</v>
      </c>
      <c r="B17" s="5" t="s">
        <v>484</v>
      </c>
      <c r="C17" s="5" t="n">
        <f aca="false">COUNTIF('Observed lines'!$F$2:$F$36,A17)</f>
        <v>1</v>
      </c>
      <c r="D17" s="5" t="n">
        <f aca="false">COUNTIFS('Observed lines'!$F$2:$F$36,A17,'Observed lines'!$G$2:$G$36,"&lt;&gt;")</f>
        <v>1</v>
      </c>
      <c r="E17" s="6" t="n">
        <f aca="false">IF(D17=0,"",_xlfn.MINIFS('Observed lines'!$G$2:$G$36,'Observed lines'!$F$2:$F$36,A17))</f>
        <v>228.66</v>
      </c>
      <c r="F17" s="6" t="n">
        <f aca="false">IF(D17=0,"",_xlfn.MAXIFS('Observed lines'!$G$2:$G$36,'Observed lines'!$F$2:$F$36,A17))</f>
        <v>228.66</v>
      </c>
      <c r="G17" s="5" t="str">
        <f aca="false">IF(D17=0,"none seen",IF(E17=F17,TEXT(E17,"$#,##0.00"),TEXT(E17,"$#,##0.00")&amp;" – "&amp;TEXT(F17,"$#,##0.00")))</f>
        <v>$228.66</v>
      </c>
      <c r="H17" s="5" t="s">
        <v>657</v>
      </c>
    </row>
    <row r="18" customFormat="false" ht="15" hidden="false" customHeight="false" outlineLevel="0" collapsed="false">
      <c r="A18" s="5" t="s">
        <v>486</v>
      </c>
      <c r="B18" s="5" t="s">
        <v>487</v>
      </c>
      <c r="C18" s="5" t="n">
        <f aca="false">COUNTIF('Observed lines'!$F$2:$F$36,A18)</f>
        <v>1</v>
      </c>
      <c r="D18" s="5" t="n">
        <f aca="false">COUNTIFS('Observed lines'!$F$2:$F$36,A18,'Observed lines'!$G$2:$G$36,"&lt;&gt;")</f>
        <v>1</v>
      </c>
      <c r="E18" s="6" t="n">
        <f aca="false">IF(D18=0,"",_xlfn.MINIFS('Observed lines'!$G$2:$G$36,'Observed lines'!$F$2:$F$36,A18))</f>
        <v>5.26</v>
      </c>
      <c r="F18" s="6" t="n">
        <f aca="false">IF(D18=0,"",_xlfn.MAXIFS('Observed lines'!$G$2:$G$36,'Observed lines'!$F$2:$F$36,A18))</f>
        <v>5.26</v>
      </c>
      <c r="G18" s="5" t="str">
        <f aca="false">IF(D18=0,"none seen",IF(E18=F18,TEXT(E18,"$#,##0.00"),TEXT(E18,"$#,##0.00")&amp;" – "&amp;TEXT(F18,"$#,##0.00")))</f>
        <v>$5.26</v>
      </c>
      <c r="H18" s="5" t="s">
        <v>657</v>
      </c>
    </row>
    <row r="19" customFormat="false" ht="15" hidden="false" customHeight="false" outlineLevel="0" collapsed="false">
      <c r="A19" s="5" t="s">
        <v>489</v>
      </c>
      <c r="B19" s="5" t="s">
        <v>490</v>
      </c>
      <c r="C19" s="5" t="n">
        <f aca="false">COUNTIF('Observed lines'!$F$2:$F$36,A19)</f>
        <v>1</v>
      </c>
      <c r="D19" s="5" t="n">
        <f aca="false">COUNTIFS('Observed lines'!$F$2:$F$36,A19,'Observed lines'!$G$2:$G$36,"&lt;&gt;")</f>
        <v>1</v>
      </c>
      <c r="E19" s="6" t="n">
        <f aca="false">IF(D19=0,"",_xlfn.MINIFS('Observed lines'!$G$2:$G$36,'Observed lines'!$F$2:$F$36,A19))</f>
        <v>2.59</v>
      </c>
      <c r="F19" s="6" t="n">
        <f aca="false">IF(D19=0,"",_xlfn.MAXIFS('Observed lines'!$G$2:$G$36,'Observed lines'!$F$2:$F$36,A19))</f>
        <v>2.59</v>
      </c>
      <c r="G19" s="5" t="str">
        <f aca="false">IF(D19=0,"none seen",IF(E19=F19,TEXT(E19,"$#,##0.00"),TEXT(E19,"$#,##0.00")&amp;" – "&amp;TEXT(F19,"$#,##0.00")))</f>
        <v>$2.59</v>
      </c>
      <c r="H19" s="5" t="s">
        <v>657</v>
      </c>
    </row>
    <row r="20" customFormat="false" ht="15" hidden="false" customHeight="false" outlineLevel="0" collapsed="false">
      <c r="A20" s="5" t="s">
        <v>492</v>
      </c>
      <c r="B20" s="5" t="s">
        <v>493</v>
      </c>
      <c r="C20" s="5" t="n">
        <f aca="false">COUNTIF('Observed lines'!$F$2:$F$36,A20)</f>
        <v>1</v>
      </c>
      <c r="D20" s="5" t="n">
        <f aca="false">COUNTIFS('Observed lines'!$F$2:$F$36,A20,'Observed lines'!$G$2:$G$36,"&lt;&gt;")</f>
        <v>1</v>
      </c>
      <c r="E20" s="6" t="n">
        <f aca="false">IF(D20=0,"",_xlfn.MINIFS('Observed lines'!$G$2:$G$36,'Observed lines'!$F$2:$F$36,A20))</f>
        <v>9.11</v>
      </c>
      <c r="F20" s="6" t="n">
        <f aca="false">IF(D20=0,"",_xlfn.MAXIFS('Observed lines'!$G$2:$G$36,'Observed lines'!$F$2:$F$36,A20))</f>
        <v>9.11</v>
      </c>
      <c r="G20" s="5" t="str">
        <f aca="false">IF(D20=0,"none seen",IF(E20=F20,TEXT(E20,"$#,##0.00"),TEXT(E20,"$#,##0.00")&amp;" – "&amp;TEXT(F20,"$#,##0.00")))</f>
        <v>$9.11</v>
      </c>
      <c r="H20" s="5" t="s">
        <v>657</v>
      </c>
    </row>
    <row r="21" customFormat="false" ht="15" hidden="false" customHeight="false" outlineLevel="0" collapsed="false">
      <c r="A21" s="5" t="s">
        <v>495</v>
      </c>
      <c r="B21" s="5" t="s">
        <v>496</v>
      </c>
      <c r="C21" s="5" t="n">
        <f aca="false">COUNTIF('Observed lines'!$F$2:$F$36,A21)</f>
        <v>1</v>
      </c>
      <c r="D21" s="5" t="n">
        <f aca="false">COUNTIFS('Observed lines'!$F$2:$F$36,A21,'Observed lines'!$G$2:$G$36,"&lt;&gt;")</f>
        <v>1</v>
      </c>
      <c r="E21" s="6" t="n">
        <f aca="false">IF(D21=0,"",_xlfn.MINIFS('Observed lines'!$G$2:$G$36,'Observed lines'!$F$2:$F$36,A21))</f>
        <v>0.79</v>
      </c>
      <c r="F21" s="6" t="n">
        <f aca="false">IF(D21=0,"",_xlfn.MAXIFS('Observed lines'!$G$2:$G$36,'Observed lines'!$F$2:$F$36,A21))</f>
        <v>0.79</v>
      </c>
      <c r="G21" s="5" t="str">
        <f aca="false">IF(D21=0,"none seen",IF(E21=F21,TEXT(E21,"$#,##0.00"),TEXT(E21,"$#,##0.00")&amp;" – "&amp;TEXT(F21,"$#,##0.00")))</f>
        <v>$0.79</v>
      </c>
      <c r="H21" s="5" t="s">
        <v>657</v>
      </c>
    </row>
    <row r="22" customFormat="false" ht="15" hidden="false" customHeight="false" outlineLevel="0" collapsed="false">
      <c r="A22" s="5" t="s">
        <v>498</v>
      </c>
      <c r="B22" s="5" t="s">
        <v>499</v>
      </c>
      <c r="C22" s="5" t="n">
        <f aca="false">COUNTIF('Observed lines'!$F$2:$F$36,A22)</f>
        <v>1</v>
      </c>
      <c r="D22" s="5" t="n">
        <f aca="false">COUNTIFS('Observed lines'!$F$2:$F$36,A22,'Observed lines'!$G$2:$G$36,"&lt;&gt;")</f>
        <v>1</v>
      </c>
      <c r="E22" s="6" t="n">
        <f aca="false">IF(D22=0,"",_xlfn.MINIFS('Observed lines'!$G$2:$G$36,'Observed lines'!$F$2:$F$36,A22))</f>
        <v>220.31</v>
      </c>
      <c r="F22" s="6" t="n">
        <f aca="false">IF(D22=0,"",_xlfn.MAXIFS('Observed lines'!$G$2:$G$36,'Observed lines'!$F$2:$F$36,A22))</f>
        <v>220.31</v>
      </c>
      <c r="G22" s="5" t="str">
        <f aca="false">IF(D22=0,"none seen",IF(E22=F22,TEXT(E22,"$#,##0.00"),TEXT(E22,"$#,##0.00")&amp;" – "&amp;TEXT(F22,"$#,##0.00")))</f>
        <v>$220.31</v>
      </c>
      <c r="H22" s="5" t="s">
        <v>657</v>
      </c>
    </row>
    <row r="23" customFormat="false" ht="15" hidden="false" customHeight="false" outlineLevel="0" collapsed="false">
      <c r="A23" s="5" t="s">
        <v>501</v>
      </c>
      <c r="B23" s="5" t="s">
        <v>502</v>
      </c>
      <c r="C23" s="5" t="n">
        <f aca="false">COUNTIF('Observed lines'!$F$2:$F$36,A23)</f>
        <v>1</v>
      </c>
      <c r="D23" s="5" t="n">
        <f aca="false">COUNTIFS('Observed lines'!$F$2:$F$36,A23,'Observed lines'!$G$2:$G$36,"&lt;&gt;")</f>
        <v>0</v>
      </c>
      <c r="E23" s="6" t="str">
        <f aca="false">IF(D23=0,"",_xlfn.MINIFS('Observed lines'!$G$2:$G$36,'Observed lines'!$F$2:$F$36,A23))</f>
        <v/>
      </c>
      <c r="F23" s="6" t="str">
        <f aca="false">IF(D23=0,"",_xlfn.MAXIFS('Observed lines'!$G$2:$G$36,'Observed lines'!$F$2:$F$36,A23))</f>
        <v/>
      </c>
      <c r="G23" s="5" t="str">
        <f aca="false">IF(D23=0,"none seen",IF(E23=F23,TEXT(E23,"$#,##0.00"),TEXT(E23,"$#,##0.00")&amp;" – "&amp;TEXT(F23,"$#,##0.00")))</f>
        <v>none seen</v>
      </c>
      <c r="H23" s="5" t="s">
        <v>657</v>
      </c>
    </row>
    <row r="24" customFormat="false" ht="15" hidden="false" customHeight="false" outlineLevel="0" collapsed="false">
      <c r="A24" s="5" t="s">
        <v>504</v>
      </c>
      <c r="B24" s="5" t="s">
        <v>505</v>
      </c>
      <c r="C24" s="5" t="n">
        <f aca="false">COUNTIF('Observed lines'!$F$2:$F$36,A24)</f>
        <v>1</v>
      </c>
      <c r="D24" s="5" t="n">
        <f aca="false">COUNTIFS('Observed lines'!$F$2:$F$36,A24,'Observed lines'!$G$2:$G$36,"&lt;&gt;")</f>
        <v>0</v>
      </c>
      <c r="E24" s="6" t="str">
        <f aca="false">IF(D24=0,"",_xlfn.MINIFS('Observed lines'!$G$2:$G$36,'Observed lines'!$F$2:$F$36,A24))</f>
        <v/>
      </c>
      <c r="F24" s="6" t="str">
        <f aca="false">IF(D24=0,"",_xlfn.MAXIFS('Observed lines'!$G$2:$G$36,'Observed lines'!$F$2:$F$36,A24))</f>
        <v/>
      </c>
      <c r="G24" s="5" t="str">
        <f aca="false">IF(D24=0,"none seen",IF(E24=F24,TEXT(E24,"$#,##0.00"),TEXT(E24,"$#,##0.00")&amp;" – "&amp;TEXT(F24,"$#,##0.00")))</f>
        <v>none seen</v>
      </c>
      <c r="H24" s="5" t="s">
        <v>657</v>
      </c>
    </row>
    <row r="25" customFormat="false" ht="15" hidden="false" customHeight="false" outlineLevel="0" collapsed="false">
      <c r="A25" s="5" t="s">
        <v>507</v>
      </c>
      <c r="B25" s="5" t="s">
        <v>508</v>
      </c>
      <c r="C25" s="5" t="n">
        <f aca="false">COUNTIF('Observed lines'!$F$2:$F$36,A25)</f>
        <v>1</v>
      </c>
      <c r="D25" s="5" t="n">
        <f aca="false">COUNTIFS('Observed lines'!$F$2:$F$36,A25,'Observed lines'!$G$2:$G$36,"&lt;&gt;")</f>
        <v>0</v>
      </c>
      <c r="E25" s="6" t="str">
        <f aca="false">IF(D25=0,"",_xlfn.MINIFS('Observed lines'!$G$2:$G$36,'Observed lines'!$F$2:$F$36,A25))</f>
        <v/>
      </c>
      <c r="F25" s="6" t="str">
        <f aca="false">IF(D25=0,"",_xlfn.MAXIFS('Observed lines'!$G$2:$G$36,'Observed lines'!$F$2:$F$36,A25))</f>
        <v/>
      </c>
      <c r="G25" s="5" t="str">
        <f aca="false">IF(D25=0,"none seen",IF(E25=F25,TEXT(E25,"$#,##0.00"),TEXT(E25,"$#,##0.00")&amp;" – "&amp;TEXT(F25,"$#,##0.00")))</f>
        <v>none seen</v>
      </c>
      <c r="H25" s="5" t="s">
        <v>657</v>
      </c>
    </row>
    <row r="26" customFormat="false" ht="15" hidden="false" customHeight="false" outlineLevel="0" collapsed="false">
      <c r="A26" s="5" t="s">
        <v>510</v>
      </c>
      <c r="B26" s="5" t="s">
        <v>511</v>
      </c>
      <c r="C26" s="5" t="n">
        <f aca="false">COUNTIF('Observed lines'!$F$2:$F$36,A26)</f>
        <v>1</v>
      </c>
      <c r="D26" s="5" t="n">
        <f aca="false">COUNTIFS('Observed lines'!$F$2:$F$36,A26,'Observed lines'!$G$2:$G$36,"&lt;&gt;")</f>
        <v>0</v>
      </c>
      <c r="E26" s="6" t="str">
        <f aca="false">IF(D26=0,"",_xlfn.MINIFS('Observed lines'!$G$2:$G$36,'Observed lines'!$F$2:$F$36,A26))</f>
        <v/>
      </c>
      <c r="F26" s="6" t="str">
        <f aca="false">IF(D26=0,"",_xlfn.MAXIFS('Observed lines'!$G$2:$G$36,'Observed lines'!$F$2:$F$36,A26))</f>
        <v/>
      </c>
      <c r="G26" s="5" t="str">
        <f aca="false">IF(D26=0,"none seen",IF(E26=F26,TEXT(E26,"$#,##0.00"),TEXT(E26,"$#,##0.00")&amp;" – "&amp;TEXT(F26,"$#,##0.00")))</f>
        <v>none seen</v>
      </c>
      <c r="H26" s="5" t="s">
        <v>657</v>
      </c>
    </row>
    <row r="27" customFormat="false" ht="15" hidden="false" customHeight="false" outlineLevel="0" collapsed="false">
      <c r="A27" s="5" t="s">
        <v>513</v>
      </c>
      <c r="B27" s="5" t="s">
        <v>514</v>
      </c>
      <c r="C27" s="5" t="n">
        <f aca="false">COUNTIF('Observed lines'!$F$2:$F$36,A27)</f>
        <v>1</v>
      </c>
      <c r="D27" s="5" t="n">
        <f aca="false">COUNTIFS('Observed lines'!$F$2:$F$36,A27,'Observed lines'!$G$2:$G$36,"&lt;&gt;")</f>
        <v>0</v>
      </c>
      <c r="E27" s="6" t="str">
        <f aca="false">IF(D27=0,"",_xlfn.MINIFS('Observed lines'!$G$2:$G$36,'Observed lines'!$F$2:$F$36,A27))</f>
        <v/>
      </c>
      <c r="F27" s="6" t="str">
        <f aca="false">IF(D27=0,"",_xlfn.MAXIFS('Observed lines'!$G$2:$G$36,'Observed lines'!$F$2:$F$36,A27))</f>
        <v/>
      </c>
      <c r="G27" s="5" t="str">
        <f aca="false">IF(D27=0,"none seen",IF(E27=F27,TEXT(E27,"$#,##0.00"),TEXT(E27,"$#,##0.00")&amp;" – "&amp;TEXT(F27,"$#,##0.00")))</f>
        <v>none seen</v>
      </c>
      <c r="H27" s="5" t="s">
        <v>657</v>
      </c>
    </row>
    <row r="28" customFormat="false" ht="15" hidden="false" customHeight="false" outlineLevel="0" collapsed="false">
      <c r="A28" s="5" t="s">
        <v>516</v>
      </c>
      <c r="B28" s="5" t="s">
        <v>517</v>
      </c>
      <c r="C28" s="5" t="n">
        <f aca="false">COUNTIF('Observed lines'!$F$2:$F$36,A28)</f>
        <v>1</v>
      </c>
      <c r="D28" s="5" t="n">
        <f aca="false">COUNTIFS('Observed lines'!$F$2:$F$36,A28,'Observed lines'!$G$2:$G$36,"&lt;&gt;")</f>
        <v>0</v>
      </c>
      <c r="E28" s="6" t="str">
        <f aca="false">IF(D28=0,"",_xlfn.MINIFS('Observed lines'!$G$2:$G$36,'Observed lines'!$F$2:$F$36,A28))</f>
        <v/>
      </c>
      <c r="F28" s="6" t="str">
        <f aca="false">IF(D28=0,"",_xlfn.MAXIFS('Observed lines'!$G$2:$G$36,'Observed lines'!$F$2:$F$36,A28))</f>
        <v/>
      </c>
      <c r="G28" s="5" t="str">
        <f aca="false">IF(D28=0,"none seen",IF(E28=F28,TEXT(E28,"$#,##0.00"),TEXT(E28,"$#,##0.00")&amp;" – "&amp;TEXT(F28,"$#,##0.00")))</f>
        <v>none seen</v>
      </c>
      <c r="H28" s="5" t="s">
        <v>657</v>
      </c>
    </row>
    <row r="29" customFormat="false" ht="15" hidden="false" customHeight="false" outlineLevel="0" collapsed="false">
      <c r="A29" s="5" t="s">
        <v>519</v>
      </c>
      <c r="B29" s="5" t="s">
        <v>520</v>
      </c>
      <c r="C29" s="5" t="n">
        <f aca="false">COUNTIF('Observed lines'!$F$2:$F$36,A29)</f>
        <v>1</v>
      </c>
      <c r="D29" s="5" t="n">
        <f aca="false">COUNTIFS('Observed lines'!$F$2:$F$36,A29,'Observed lines'!$G$2:$G$36,"&lt;&gt;")</f>
        <v>0</v>
      </c>
      <c r="E29" s="6" t="str">
        <f aca="false">IF(D29=0,"",_xlfn.MINIFS('Observed lines'!$G$2:$G$36,'Observed lines'!$F$2:$F$36,A29))</f>
        <v/>
      </c>
      <c r="F29" s="6" t="str">
        <f aca="false">IF(D29=0,"",_xlfn.MAXIFS('Observed lines'!$G$2:$G$36,'Observed lines'!$F$2:$F$36,A29))</f>
        <v/>
      </c>
      <c r="G29" s="5" t="str">
        <f aca="false">IF(D29=0,"none seen",IF(E29=F29,TEXT(E29,"$#,##0.00"),TEXT(E29,"$#,##0.00")&amp;" – "&amp;TEXT(F29,"$#,##0.00")))</f>
        <v>none seen</v>
      </c>
      <c r="H29" s="5" t="s">
        <v>657</v>
      </c>
    </row>
    <row r="30" customFormat="false" ht="15" hidden="false" customHeight="false" outlineLevel="0" collapsed="false">
      <c r="A30" s="5" t="s">
        <v>522</v>
      </c>
      <c r="B30" s="5" t="s">
        <v>523</v>
      </c>
      <c r="C30" s="5" t="n">
        <f aca="false">COUNTIF('Observed lines'!$F$2:$F$36,A30)</f>
        <v>1</v>
      </c>
      <c r="D30" s="5" t="n">
        <f aca="false">COUNTIFS('Observed lines'!$F$2:$F$36,A30,'Observed lines'!$G$2:$G$36,"&lt;&gt;")</f>
        <v>0</v>
      </c>
      <c r="E30" s="6" t="str">
        <f aca="false">IF(D30=0,"",_xlfn.MINIFS('Observed lines'!$G$2:$G$36,'Observed lines'!$F$2:$F$36,A30))</f>
        <v/>
      </c>
      <c r="F30" s="6" t="str">
        <f aca="false">IF(D30=0,"",_xlfn.MAXIFS('Observed lines'!$G$2:$G$36,'Observed lines'!$F$2:$F$36,A30))</f>
        <v/>
      </c>
      <c r="G30" s="5" t="str">
        <f aca="false">IF(D30=0,"none seen",IF(E30=F30,TEXT(E30,"$#,##0.00"),TEXT(E30,"$#,##0.00")&amp;" – "&amp;TEXT(F30,"$#,##0.00")))</f>
        <v>none seen</v>
      </c>
      <c r="H30" s="5" t="s">
        <v>657</v>
      </c>
    </row>
    <row r="31" customFormat="false" ht="15" hidden="false" customHeight="false" outlineLevel="0" collapsed="false">
      <c r="A31" s="5" t="s">
        <v>525</v>
      </c>
      <c r="B31" s="5" t="s">
        <v>441</v>
      </c>
      <c r="C31" s="5" t="n">
        <f aca="false">COUNTIF('Observed lines'!$F$2:$F$36,A31)</f>
        <v>0</v>
      </c>
      <c r="D31" s="5" t="n">
        <f aca="false">COUNTIFS('Observed lines'!$F$2:$F$36,A31,'Observed lines'!$G$2:$G$36,"&lt;&gt;")</f>
        <v>0</v>
      </c>
      <c r="E31" s="6" t="str">
        <f aca="false">IF(D31=0,"",_xlfn.MINIFS('Observed lines'!$G$2:$G$36,'Observed lines'!$F$2:$F$36,A31))</f>
        <v/>
      </c>
      <c r="F31" s="6" t="str">
        <f aca="false">IF(D31=0,"",_xlfn.MAXIFS('Observed lines'!$G$2:$G$36,'Observed lines'!$F$2:$F$36,A31))</f>
        <v/>
      </c>
      <c r="G31" s="5" t="str">
        <f aca="false">IF(D31=0,"none seen",IF(E31=F31,TEXT(E31,"$#,##0.00"),TEXT(E31,"$#,##0.00")&amp;" – "&amp;TEXT(F31,"$#,##0.00")))</f>
        <v>none seen</v>
      </c>
      <c r="H31" s="5" t="s">
        <v>658</v>
      </c>
    </row>
    <row r="32" customFormat="false" ht="15" hidden="false" customHeight="false" outlineLevel="0" collapsed="false">
      <c r="A32" s="5" t="s">
        <v>526</v>
      </c>
      <c r="B32" s="5" t="s">
        <v>441</v>
      </c>
      <c r="C32" s="5" t="n">
        <f aca="false">COUNTIF('Observed lines'!$F$2:$F$36,A32)</f>
        <v>0</v>
      </c>
      <c r="D32" s="5" t="n">
        <f aca="false">COUNTIFS('Observed lines'!$F$2:$F$36,A32,'Observed lines'!$G$2:$G$36,"&lt;&gt;")</f>
        <v>0</v>
      </c>
      <c r="E32" s="6" t="str">
        <f aca="false">IF(D32=0,"",_xlfn.MINIFS('Observed lines'!$G$2:$G$36,'Observed lines'!$F$2:$F$36,A32))</f>
        <v/>
      </c>
      <c r="F32" s="6" t="str">
        <f aca="false">IF(D32=0,"",_xlfn.MAXIFS('Observed lines'!$G$2:$G$36,'Observed lines'!$F$2:$F$36,A32))</f>
        <v/>
      </c>
      <c r="G32" s="5" t="str">
        <f aca="false">IF(D32=0,"none seen",IF(E32=F32,TEXT(E32,"$#,##0.00"),TEXT(E32,"$#,##0.00")&amp;" – "&amp;TEXT(F32,"$#,##0.00")))</f>
        <v>none seen</v>
      </c>
      <c r="H32" s="5" t="s">
        <v>658</v>
      </c>
    </row>
    <row r="33" customFormat="false" ht="15" hidden="false" customHeight="false" outlineLevel="0" collapsed="false">
      <c r="A33" s="5" t="s">
        <v>527</v>
      </c>
      <c r="B33" s="5" t="s">
        <v>441</v>
      </c>
      <c r="C33" s="5" t="n">
        <f aca="false">COUNTIF('Observed lines'!$F$2:$F$36,A33)</f>
        <v>0</v>
      </c>
      <c r="D33" s="5" t="n">
        <f aca="false">COUNTIFS('Observed lines'!$F$2:$F$36,A33,'Observed lines'!$G$2:$G$36,"&lt;&gt;")</f>
        <v>0</v>
      </c>
      <c r="E33" s="6" t="str">
        <f aca="false">IF(D33=0,"",_xlfn.MINIFS('Observed lines'!$G$2:$G$36,'Observed lines'!$F$2:$F$36,A33))</f>
        <v/>
      </c>
      <c r="F33" s="6" t="str">
        <f aca="false">IF(D33=0,"",_xlfn.MAXIFS('Observed lines'!$G$2:$G$36,'Observed lines'!$F$2:$F$36,A33))</f>
        <v/>
      </c>
      <c r="G33" s="5" t="str">
        <f aca="false">IF(D33=0,"none seen",IF(E33=F33,TEXT(E33,"$#,##0.00"),TEXT(E33,"$#,##0.00")&amp;" – "&amp;TEXT(F33,"$#,##0.00")))</f>
        <v>none seen</v>
      </c>
      <c r="H33" s="5" t="s">
        <v>658</v>
      </c>
    </row>
    <row r="35" customFormat="false" ht="46.25" hidden="false" customHeight="false" outlineLevel="0" collapsed="false">
      <c r="A35" s="7" t="s">
        <v>659</v>
      </c>
      <c r="B35" s="3" t="s">
        <v>660</v>
      </c>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5"/>
    <col collapsed="false" customWidth="true" hidden="false" outlineLevel="0" max="4" min="3" style="0" width="8"/>
    <col collapsed="false" customWidth="true" hidden="false" outlineLevel="0" max="5" min="5" style="0" width="9"/>
    <col collapsed="false" customWidth="true" hidden="false" outlineLevel="0" max="6" min="6" style="0" width="16"/>
    <col collapsed="false" customWidth="true" hidden="false" outlineLevel="0" max="7" min="7" style="0" width="55"/>
  </cols>
  <sheetData>
    <row r="1" customFormat="false" ht="30" hidden="false" customHeight="true" outlineLevel="0" collapsed="false">
      <c r="A1" s="4" t="s">
        <v>661</v>
      </c>
      <c r="B1" s="4" t="s">
        <v>662</v>
      </c>
      <c r="C1" s="4" t="s">
        <v>663</v>
      </c>
      <c r="D1" s="4" t="s">
        <v>664</v>
      </c>
      <c r="E1" s="4" t="s">
        <v>665</v>
      </c>
      <c r="F1" s="4" t="s">
        <v>666</v>
      </c>
      <c r="G1" s="4" t="s">
        <v>667</v>
      </c>
    </row>
    <row r="2" customFormat="false" ht="23.85" hidden="false" customHeight="false" outlineLevel="0" collapsed="false">
      <c r="A2" s="5" t="s">
        <v>53</v>
      </c>
      <c r="B2" s="5" t="s">
        <v>58</v>
      </c>
      <c r="C2" s="5" t="n">
        <v>4</v>
      </c>
      <c r="D2" s="5" t="n">
        <v>4</v>
      </c>
      <c r="E2" s="8" t="n">
        <f aca="false">IF(OR(C2="",D2=""),"",C2/D2)</f>
        <v>1</v>
      </c>
      <c r="F2" s="5" t="s">
        <v>668</v>
      </c>
      <c r="G2" s="5" t="s">
        <v>669</v>
      </c>
    </row>
    <row r="3" customFormat="false" ht="15" hidden="false" customHeight="false" outlineLevel="0" collapsed="false">
      <c r="A3" s="5" t="s">
        <v>62</v>
      </c>
      <c r="B3" s="5" t="s">
        <v>356</v>
      </c>
      <c r="C3" s="5" t="n">
        <v>3</v>
      </c>
      <c r="D3" s="5" t="n">
        <v>4</v>
      </c>
      <c r="E3" s="8" t="n">
        <f aca="false">IF(OR(C3="",D3=""),"",C3/D3)</f>
        <v>0.75</v>
      </c>
      <c r="F3" s="5" t="s">
        <v>668</v>
      </c>
      <c r="G3" s="5" t="s">
        <v>670</v>
      </c>
    </row>
    <row r="4" customFormat="false" ht="15" hidden="false" customHeight="false" outlineLevel="0" collapsed="false">
      <c r="A4" s="5" t="s">
        <v>62</v>
      </c>
      <c r="B4" s="5" t="s">
        <v>355</v>
      </c>
      <c r="C4" s="5" t="n">
        <v>1</v>
      </c>
      <c r="D4" s="5" t="n">
        <v>4</v>
      </c>
      <c r="E4" s="8" t="n">
        <f aca="false">IF(OR(C4="",D4=""),"",C4/D4)</f>
        <v>0.25</v>
      </c>
      <c r="F4" s="5" t="s">
        <v>668</v>
      </c>
      <c r="G4" s="5" t="s">
        <v>670</v>
      </c>
    </row>
    <row r="5" customFormat="false" ht="15" hidden="false" customHeight="false" outlineLevel="0" collapsed="false">
      <c r="A5" s="5" t="s">
        <v>671</v>
      </c>
      <c r="B5" s="5" t="s">
        <v>672</v>
      </c>
      <c r="C5" s="5" t="n">
        <v>3</v>
      </c>
      <c r="D5" s="5" t="n">
        <v>4</v>
      </c>
      <c r="E5" s="8" t="n">
        <f aca="false">IF(OR(C5="",D5=""),"",C5/D5)</f>
        <v>0.75</v>
      </c>
      <c r="F5" s="5" t="s">
        <v>668</v>
      </c>
      <c r="G5" s="5" t="s">
        <v>673</v>
      </c>
    </row>
    <row r="6" customFormat="false" ht="15" hidden="false" customHeight="false" outlineLevel="0" collapsed="false">
      <c r="A6" s="5" t="s">
        <v>671</v>
      </c>
      <c r="B6" s="5" t="s">
        <v>674</v>
      </c>
      <c r="C6" s="5" t="n">
        <v>1</v>
      </c>
      <c r="D6" s="5" t="n">
        <v>4</v>
      </c>
      <c r="E6" s="8" t="n">
        <f aca="false">IF(OR(C6="",D6=""),"",C6/D6)</f>
        <v>0.25</v>
      </c>
      <c r="F6" s="5" t="s">
        <v>668</v>
      </c>
      <c r="G6" s="5" t="s">
        <v>673</v>
      </c>
    </row>
    <row r="7" customFormat="false" ht="15" hidden="false" customHeight="false" outlineLevel="0" collapsed="false">
      <c r="A7" s="5" t="s">
        <v>82</v>
      </c>
      <c r="B7" s="5" t="s">
        <v>86</v>
      </c>
      <c r="C7" s="5" t="n">
        <v>4</v>
      </c>
      <c r="D7" s="5" t="n">
        <v>4</v>
      </c>
      <c r="E7" s="8" t="n">
        <f aca="false">IF(OR(C7="",D7=""),"",C7/D7)</f>
        <v>1</v>
      </c>
      <c r="F7" s="5" t="s">
        <v>668</v>
      </c>
      <c r="G7" s="5" t="s">
        <v>675</v>
      </c>
    </row>
    <row r="8" customFormat="false" ht="15" hidden="false" customHeight="false" outlineLevel="0" collapsed="false">
      <c r="A8" s="5" t="s">
        <v>96</v>
      </c>
      <c r="B8" s="5" t="s">
        <v>676</v>
      </c>
      <c r="C8" s="5" t="n">
        <v>2</v>
      </c>
      <c r="D8" s="5" t="n">
        <v>4</v>
      </c>
      <c r="E8" s="8" t="n">
        <f aca="false">IF(OR(C8="",D8=""),"",C8/D8)</f>
        <v>0.5</v>
      </c>
      <c r="F8" s="5" t="s">
        <v>668</v>
      </c>
      <c r="G8" s="5" t="s">
        <v>677</v>
      </c>
    </row>
    <row r="9" customFormat="false" ht="15" hidden="false" customHeight="false" outlineLevel="0" collapsed="false">
      <c r="A9" s="5" t="s">
        <v>96</v>
      </c>
      <c r="B9" s="5" t="s">
        <v>678</v>
      </c>
      <c r="C9" s="5" t="n">
        <v>2</v>
      </c>
      <c r="D9" s="5" t="n">
        <v>4</v>
      </c>
      <c r="E9" s="8" t="n">
        <f aca="false">IF(OR(C9="",D9=""),"",C9/D9)</f>
        <v>0.5</v>
      </c>
      <c r="F9" s="5" t="s">
        <v>668</v>
      </c>
      <c r="G9" s="5" t="s">
        <v>677</v>
      </c>
    </row>
    <row r="10" customFormat="false" ht="15" hidden="false" customHeight="false" outlineLevel="0" collapsed="false">
      <c r="A10" s="5" t="s">
        <v>101</v>
      </c>
      <c r="B10" s="5" t="s">
        <v>679</v>
      </c>
      <c r="C10" s="5" t="n">
        <v>2</v>
      </c>
      <c r="D10" s="5" t="n">
        <v>4</v>
      </c>
      <c r="E10" s="8" t="n">
        <f aca="false">IF(OR(C10="",D10=""),"",C10/D10)</f>
        <v>0.5</v>
      </c>
      <c r="F10" s="5" t="s">
        <v>668</v>
      </c>
      <c r="G10" s="5" t="s">
        <v>680</v>
      </c>
    </row>
    <row r="11" customFormat="false" ht="15" hidden="false" customHeight="false" outlineLevel="0" collapsed="false">
      <c r="A11" s="5" t="s">
        <v>101</v>
      </c>
      <c r="B11" s="5" t="s">
        <v>681</v>
      </c>
      <c r="C11" s="5" t="n">
        <v>1</v>
      </c>
      <c r="D11" s="5" t="n">
        <v>4</v>
      </c>
      <c r="E11" s="8" t="n">
        <f aca="false">IF(OR(C11="",D11=""),"",C11/D11)</f>
        <v>0.25</v>
      </c>
      <c r="F11" s="5" t="s">
        <v>668</v>
      </c>
      <c r="G11" s="5" t="s">
        <v>680</v>
      </c>
    </row>
    <row r="12" customFormat="false" ht="15" hidden="false" customHeight="false" outlineLevel="0" collapsed="false">
      <c r="A12" s="5" t="s">
        <v>101</v>
      </c>
      <c r="B12" s="5" t="s">
        <v>682</v>
      </c>
      <c r="C12" s="5" t="n">
        <v>1</v>
      </c>
      <c r="D12" s="5" t="n">
        <v>4</v>
      </c>
      <c r="E12" s="8" t="n">
        <f aca="false">IF(OR(C12="",D12=""),"",C12/D12)</f>
        <v>0.25</v>
      </c>
      <c r="F12" s="5" t="s">
        <v>668</v>
      </c>
      <c r="G12" s="5" t="s">
        <v>680</v>
      </c>
    </row>
    <row r="13" customFormat="false" ht="15" hidden="false" customHeight="false" outlineLevel="0" collapsed="false">
      <c r="A13" s="5" t="s">
        <v>683</v>
      </c>
      <c r="B13" s="5" t="s">
        <v>58</v>
      </c>
      <c r="C13" s="5" t="n">
        <v>4</v>
      </c>
      <c r="D13" s="5" t="n">
        <v>4</v>
      </c>
      <c r="E13" s="8" t="n">
        <f aca="false">IF(OR(C13="",D13=""),"",C13/D13)</f>
        <v>1</v>
      </c>
      <c r="F13" s="5" t="s">
        <v>668</v>
      </c>
      <c r="G13" s="5" t="s">
        <v>669</v>
      </c>
    </row>
    <row r="14" customFormat="false" ht="15" hidden="false" customHeight="false" outlineLevel="0" collapsed="false">
      <c r="A14" s="5" t="s">
        <v>89</v>
      </c>
      <c r="B14" s="5" t="s">
        <v>92</v>
      </c>
      <c r="C14" s="5" t="n">
        <v>3</v>
      </c>
      <c r="D14" s="5" t="n">
        <v>4</v>
      </c>
      <c r="E14" s="8" t="n">
        <f aca="false">IF(OR(C14="",D14=""),"",C14/D14)</f>
        <v>0.75</v>
      </c>
      <c r="F14" s="5" t="s">
        <v>668</v>
      </c>
      <c r="G14" s="5" t="s">
        <v>684</v>
      </c>
    </row>
    <row r="15" customFormat="false" ht="15" hidden="false" customHeight="false" outlineLevel="0" collapsed="false">
      <c r="A15" s="5" t="s">
        <v>89</v>
      </c>
      <c r="B15" s="5" t="s">
        <v>367</v>
      </c>
      <c r="C15" s="5" t="n">
        <v>1</v>
      </c>
      <c r="D15" s="5" t="n">
        <v>4</v>
      </c>
      <c r="E15" s="8" t="n">
        <f aca="false">IF(OR(C15="",D15=""),"",C15/D15)</f>
        <v>0.25</v>
      </c>
      <c r="F15" s="5" t="s">
        <v>668</v>
      </c>
      <c r="G15" s="5" t="s">
        <v>685</v>
      </c>
    </row>
    <row r="16" customFormat="false" ht="15" hidden="false" customHeight="false" outlineLevel="0" collapsed="false">
      <c r="A16" s="5" t="s">
        <v>686</v>
      </c>
      <c r="B16" s="5" t="s">
        <v>687</v>
      </c>
      <c r="C16" s="5" t="n">
        <v>3</v>
      </c>
      <c r="D16" s="5" t="n">
        <v>4</v>
      </c>
      <c r="E16" s="8" t="n">
        <f aca="false">IF(OR(C16="",D16=""),"",C16/D16)</f>
        <v>0.75</v>
      </c>
      <c r="F16" s="5" t="s">
        <v>668</v>
      </c>
      <c r="G16" s="5" t="s">
        <v>688</v>
      </c>
    </row>
    <row r="17" customFormat="false" ht="15" hidden="false" customHeight="false" outlineLevel="0" collapsed="false">
      <c r="A17" s="5" t="s">
        <v>686</v>
      </c>
      <c r="B17" s="5" t="s">
        <v>435</v>
      </c>
      <c r="C17" s="5" t="n">
        <v>1</v>
      </c>
      <c r="D17" s="5" t="n">
        <v>4</v>
      </c>
      <c r="E17" s="8" t="n">
        <f aca="false">IF(OR(C17="",D17=""),"",C17/D17)</f>
        <v>0.25</v>
      </c>
      <c r="F17" s="5" t="s">
        <v>668</v>
      </c>
      <c r="G17" s="5" t="s">
        <v>689</v>
      </c>
    </row>
    <row r="18" customFormat="false" ht="15" hidden="false" customHeight="false" outlineLevel="0" collapsed="false">
      <c r="A18" s="5" t="s">
        <v>183</v>
      </c>
      <c r="B18" s="5" t="s">
        <v>650</v>
      </c>
      <c r="C18" s="5" t="n">
        <v>1</v>
      </c>
      <c r="D18" s="5" t="n">
        <v>4</v>
      </c>
      <c r="E18" s="8" t="n">
        <f aca="false">IF(OR(C18="",D18=""),"",C18/D18)</f>
        <v>0.25</v>
      </c>
      <c r="F18" s="5" t="s">
        <v>668</v>
      </c>
      <c r="G18" s="5" t="s">
        <v>690</v>
      </c>
    </row>
    <row r="19" customFormat="false" ht="23.85" hidden="false" customHeight="false" outlineLevel="0" collapsed="false">
      <c r="A19" s="5" t="s">
        <v>691</v>
      </c>
      <c r="B19" s="5" t="s">
        <v>692</v>
      </c>
      <c r="C19" s="5" t="n">
        <v>4</v>
      </c>
      <c r="D19" s="5" t="n">
        <v>4</v>
      </c>
      <c r="E19" s="8" t="n">
        <f aca="false">IF(OR(C19="",D19=""),"",C19/D19)</f>
        <v>1</v>
      </c>
      <c r="F19" s="5" t="s">
        <v>668</v>
      </c>
      <c r="G19" s="5" t="s">
        <v>693</v>
      </c>
    </row>
    <row r="20" customFormat="false" ht="15" hidden="false" customHeight="false" outlineLevel="0" collapsed="false">
      <c r="A20" s="5" t="s">
        <v>694</v>
      </c>
      <c r="B20" s="5" t="s">
        <v>695</v>
      </c>
      <c r="C20" s="5" t="n">
        <v>4</v>
      </c>
      <c r="D20" s="5" t="n">
        <v>4</v>
      </c>
      <c r="E20" s="8" t="n">
        <f aca="false">IF(OR(C20="",D20=""),"",C20/D20)</f>
        <v>1</v>
      </c>
      <c r="F20" s="5" t="s">
        <v>668</v>
      </c>
      <c r="G20" s="5" t="s">
        <v>696</v>
      </c>
    </row>
    <row r="21" customFormat="false" ht="15" hidden="false" customHeight="false" outlineLevel="0" collapsed="false">
      <c r="A21" s="5" t="s">
        <v>697</v>
      </c>
      <c r="B21" s="5" t="s">
        <v>426</v>
      </c>
      <c r="C21" s="5" t="n">
        <v>1</v>
      </c>
      <c r="D21" s="5" t="n">
        <v>4</v>
      </c>
      <c r="E21" s="8" t="n">
        <f aca="false">IF(OR(C21="",D21=""),"",C21/D21)</f>
        <v>0.25</v>
      </c>
      <c r="F21" s="5" t="s">
        <v>668</v>
      </c>
      <c r="G21" s="5" t="s">
        <v>698</v>
      </c>
    </row>
    <row r="22" customFormat="false" ht="15" hidden="false" customHeight="false" outlineLevel="0" collapsed="false">
      <c r="A22" s="5" t="s">
        <v>697</v>
      </c>
      <c r="B22" s="5" t="s">
        <v>428</v>
      </c>
      <c r="C22" s="5" t="n">
        <v>1</v>
      </c>
      <c r="D22" s="5" t="n">
        <v>4</v>
      </c>
      <c r="E22" s="8" t="n">
        <f aca="false">IF(OR(C22="",D22=""),"",C22/D22)</f>
        <v>0.25</v>
      </c>
      <c r="F22" s="5" t="s">
        <v>668</v>
      </c>
      <c r="G22" s="5" t="s">
        <v>698</v>
      </c>
    </row>
    <row r="23" customFormat="false" ht="15" hidden="false" customHeight="false" outlineLevel="0" collapsed="false">
      <c r="A23" s="5" t="s">
        <v>697</v>
      </c>
      <c r="B23" s="5" t="s">
        <v>430</v>
      </c>
      <c r="C23" s="5" t="n">
        <v>1</v>
      </c>
      <c r="D23" s="5" t="n">
        <v>4</v>
      </c>
      <c r="E23" s="8" t="n">
        <f aca="false">IF(OR(C23="",D23=""),"",C23/D23)</f>
        <v>0.25</v>
      </c>
      <c r="F23" s="5" t="s">
        <v>668</v>
      </c>
      <c r="G23" s="5" t="s">
        <v>698</v>
      </c>
    </row>
    <row r="24" customFormat="false" ht="15" hidden="false" customHeight="false" outlineLevel="0" collapsed="false">
      <c r="A24" s="5" t="s">
        <v>697</v>
      </c>
      <c r="B24" s="5" t="s">
        <v>432</v>
      </c>
      <c r="C24" s="5" t="n">
        <v>1</v>
      </c>
      <c r="D24" s="5" t="n">
        <v>4</v>
      </c>
      <c r="E24" s="8" t="n">
        <f aca="false">IF(OR(C24="",D24=""),"",C24/D24)</f>
        <v>0.25</v>
      </c>
      <c r="F24" s="5" t="s">
        <v>668</v>
      </c>
      <c r="G24" s="5" t="s">
        <v>698</v>
      </c>
    </row>
    <row r="25" customFormat="false" ht="15" hidden="false" customHeight="false" outlineLevel="0" collapsed="false">
      <c r="A25" s="5" t="s">
        <v>699</v>
      </c>
      <c r="B25" s="5" t="s">
        <v>700</v>
      </c>
      <c r="C25" s="5" t="n">
        <v>4</v>
      </c>
      <c r="D25" s="5" t="n">
        <v>4</v>
      </c>
      <c r="E25" s="8" t="n">
        <f aca="false">IF(OR(C25="",D25=""),"",C25/D25)</f>
        <v>1</v>
      </c>
      <c r="F25" s="5" t="s">
        <v>668</v>
      </c>
      <c r="G25" s="5" t="s">
        <v>701</v>
      </c>
    </row>
    <row r="26" customFormat="false" ht="23.85" hidden="false" customHeight="false" outlineLevel="0" collapsed="false">
      <c r="A26" s="5" t="s">
        <v>242</v>
      </c>
      <c r="B26" s="5" t="s">
        <v>702</v>
      </c>
      <c r="C26" s="5" t="n">
        <v>4</v>
      </c>
      <c r="D26" s="5" t="n">
        <v>4</v>
      </c>
      <c r="E26" s="8" t="n">
        <f aca="false">IF(OR(C26="",D26=""),"",C26/D26)</f>
        <v>1</v>
      </c>
      <c r="F26" s="5" t="s">
        <v>668</v>
      </c>
      <c r="G26" s="5" t="s">
        <v>703</v>
      </c>
    </row>
    <row r="27" customFormat="false" ht="15" hidden="false" customHeight="false" outlineLevel="0" collapsed="false">
      <c r="A27" s="5" t="s">
        <v>704</v>
      </c>
      <c r="B27" s="5" t="s">
        <v>705</v>
      </c>
      <c r="C27" s="5" t="n">
        <v>25</v>
      </c>
      <c r="D27" s="5" t="n">
        <v>25</v>
      </c>
      <c r="E27" s="8" t="n">
        <f aca="false">IF(OR(C27="",D27=""),"",C27/D27)</f>
        <v>1</v>
      </c>
      <c r="F27" s="5" t="s">
        <v>706</v>
      </c>
      <c r="G27" s="5" t="s">
        <v>707</v>
      </c>
    </row>
    <row r="28" customFormat="false" ht="15" hidden="false" customHeight="false" outlineLevel="0" collapsed="false">
      <c r="A28" s="5" t="s">
        <v>708</v>
      </c>
      <c r="B28" s="5" t="s">
        <v>705</v>
      </c>
      <c r="C28" s="5" t="n">
        <v>7</v>
      </c>
      <c r="D28" s="5" t="n">
        <v>25</v>
      </c>
      <c r="E28" s="8" t="n">
        <f aca="false">IF(OR(C28="",D28=""),"",C28/D28)</f>
        <v>0.28</v>
      </c>
      <c r="F28" s="5" t="s">
        <v>706</v>
      </c>
      <c r="G28" s="5" t="s">
        <v>709</v>
      </c>
    </row>
    <row r="29" customFormat="false" ht="15" hidden="false" customHeight="false" outlineLevel="0" collapsed="false">
      <c r="A29" s="5" t="s">
        <v>257</v>
      </c>
      <c r="B29" s="5" t="s">
        <v>261</v>
      </c>
      <c r="C29" s="5" t="n">
        <v>35</v>
      </c>
      <c r="D29" s="5" t="n">
        <v>35</v>
      </c>
      <c r="E29" s="8" t="n">
        <f aca="false">IF(OR(C29="",D29=""),"",C29/D29)</f>
        <v>1</v>
      </c>
      <c r="F29" s="5" t="s">
        <v>710</v>
      </c>
      <c r="G29" s="5" t="s">
        <v>711</v>
      </c>
    </row>
    <row r="30" customFormat="false" ht="15" hidden="false" customHeight="false" outlineLevel="0" collapsed="false">
      <c r="A30" s="5" t="s">
        <v>273</v>
      </c>
      <c r="B30" s="5" t="s">
        <v>695</v>
      </c>
      <c r="C30" s="5" t="n">
        <v>35</v>
      </c>
      <c r="D30" s="5" t="n">
        <v>35</v>
      </c>
      <c r="E30" s="8" t="n">
        <f aca="false">IF(OR(C30="",D30=""),"",C30/D30)</f>
        <v>1</v>
      </c>
      <c r="F30" s="5" t="s">
        <v>710</v>
      </c>
      <c r="G30" s="5" t="s">
        <v>712</v>
      </c>
    </row>
    <row r="31" customFormat="false" ht="15" hidden="false" customHeight="false" outlineLevel="0" collapsed="false">
      <c r="A31" s="5" t="s">
        <v>279</v>
      </c>
      <c r="B31" s="5" t="s">
        <v>282</v>
      </c>
      <c r="C31" s="5" t="n">
        <v>25</v>
      </c>
      <c r="D31" s="5" t="n">
        <v>25</v>
      </c>
      <c r="E31" s="8" t="n">
        <f aca="false">IF(OR(C31="",D31=""),"",C31/D31)</f>
        <v>1</v>
      </c>
      <c r="F31" s="5" t="s">
        <v>706</v>
      </c>
      <c r="G31" s="5" t="s">
        <v>713</v>
      </c>
    </row>
    <row r="32" customFormat="false" ht="15" hidden="false" customHeight="false" outlineLevel="0" collapsed="false">
      <c r="A32" s="5" t="s">
        <v>285</v>
      </c>
      <c r="B32" s="5" t="s">
        <v>287</v>
      </c>
      <c r="C32" s="5" t="n">
        <v>25</v>
      </c>
      <c r="D32" s="5" t="n">
        <v>25</v>
      </c>
      <c r="E32" s="8" t="n">
        <f aca="false">IF(OR(C32="",D32=""),"",C32/D32)</f>
        <v>1</v>
      </c>
      <c r="F32" s="5" t="s">
        <v>706</v>
      </c>
      <c r="G32" s="5" t="s">
        <v>714</v>
      </c>
    </row>
    <row r="33" customFormat="false" ht="15" hidden="false" customHeight="false" outlineLevel="0" collapsed="false">
      <c r="A33" s="5" t="s">
        <v>290</v>
      </c>
      <c r="B33" s="5" t="s">
        <v>715</v>
      </c>
      <c r="C33" s="5" t="n">
        <v>1</v>
      </c>
      <c r="D33" s="5" t="n">
        <v>4</v>
      </c>
      <c r="E33" s="8" t="n">
        <f aca="false">IF(OR(C33="",D33=""),"",C33/D33)</f>
        <v>0.25</v>
      </c>
      <c r="F33" s="5" t="s">
        <v>668</v>
      </c>
      <c r="G33" s="5" t="s">
        <v>716</v>
      </c>
    </row>
    <row r="34" customFormat="false" ht="15" hidden="false" customHeight="false" outlineLevel="0" collapsed="false">
      <c r="A34" s="5" t="s">
        <v>295</v>
      </c>
      <c r="B34" s="5" t="s">
        <v>437</v>
      </c>
      <c r="C34" s="5" t="n">
        <v>2</v>
      </c>
      <c r="D34" s="5" t="n">
        <v>4</v>
      </c>
      <c r="E34" s="8" t="n">
        <f aca="false">IF(OR(C34="",D34=""),"",C34/D34)</f>
        <v>0.5</v>
      </c>
      <c r="F34" s="5" t="s">
        <v>668</v>
      </c>
      <c r="G34" s="5" t="s">
        <v>717</v>
      </c>
    </row>
    <row r="35" customFormat="false" ht="15" hidden="false" customHeight="false" outlineLevel="0" collapsed="false">
      <c r="A35" s="5" t="s">
        <v>295</v>
      </c>
      <c r="B35" s="5" t="s">
        <v>438</v>
      </c>
      <c r="C35" s="5" t="n">
        <v>1</v>
      </c>
      <c r="D35" s="5" t="n">
        <v>4</v>
      </c>
      <c r="E35" s="8" t="n">
        <f aca="false">IF(OR(C35="",D35=""),"",C35/D35)</f>
        <v>0.25</v>
      </c>
      <c r="F35" s="5" t="s">
        <v>668</v>
      </c>
      <c r="G35" s="5" t="s">
        <v>717</v>
      </c>
    </row>
    <row r="36" customFormat="false" ht="15" hidden="false" customHeight="false" outlineLevel="0" collapsed="false">
      <c r="A36" s="5" t="s">
        <v>295</v>
      </c>
      <c r="B36" s="5" t="s">
        <v>439</v>
      </c>
      <c r="C36" s="5" t="n">
        <v>1</v>
      </c>
      <c r="D36" s="5" t="n">
        <v>4</v>
      </c>
      <c r="E36" s="8" t="n">
        <f aca="false">IF(OR(C36="",D36=""),"",C36/D36)</f>
        <v>0.25</v>
      </c>
      <c r="F36" s="5" t="s">
        <v>668</v>
      </c>
      <c r="G36" s="5" t="s">
        <v>717</v>
      </c>
    </row>
    <row r="37" customFormat="false" ht="15" hidden="false" customHeight="false" outlineLevel="0" collapsed="false">
      <c r="A37" s="5" t="s">
        <v>302</v>
      </c>
      <c r="B37" s="5" t="s">
        <v>58</v>
      </c>
      <c r="C37" s="5" t="n">
        <v>4</v>
      </c>
      <c r="D37" s="5" t="n">
        <v>4</v>
      </c>
      <c r="E37" s="8" t="n">
        <f aca="false">IF(OR(C37="",D37=""),"",C37/D37)</f>
        <v>1</v>
      </c>
      <c r="F37" s="5" t="s">
        <v>668</v>
      </c>
      <c r="G37" s="5" t="s">
        <v>718</v>
      </c>
    </row>
    <row r="38" customFormat="false" ht="15" hidden="false" customHeight="false" outlineLevel="0" collapsed="false">
      <c r="A38" s="5" t="s">
        <v>307</v>
      </c>
      <c r="B38" s="5" t="s">
        <v>719</v>
      </c>
      <c r="C38" s="5" t="n">
        <v>4</v>
      </c>
      <c r="D38" s="5" t="n">
        <v>4</v>
      </c>
      <c r="E38" s="8" t="n">
        <f aca="false">IF(OR(C38="",D38=""),"",C38/D38)</f>
        <v>1</v>
      </c>
      <c r="F38" s="5" t="s">
        <v>668</v>
      </c>
      <c r="G38" s="5" t="s">
        <v>720</v>
      </c>
    </row>
    <row r="39" customFormat="false" ht="23.85" hidden="false" customHeight="false" outlineLevel="0" collapsed="false">
      <c r="A39" s="5" t="s">
        <v>721</v>
      </c>
      <c r="B39" s="5" t="s">
        <v>722</v>
      </c>
      <c r="C39" s="5" t="n">
        <v>10</v>
      </c>
      <c r="D39" s="5" t="n">
        <v>35</v>
      </c>
      <c r="E39" s="8" t="n">
        <f aca="false">IF(OR(C39="",D39=""),"",C39/D39)</f>
        <v>0.285714285714286</v>
      </c>
      <c r="F39" s="5" t="s">
        <v>710</v>
      </c>
      <c r="G39" s="5" t="s">
        <v>723</v>
      </c>
    </row>
    <row r="40" customFormat="false" ht="15" hidden="false" customHeight="false" outlineLevel="0" collapsed="false">
      <c r="A40" s="5" t="s">
        <v>724</v>
      </c>
      <c r="B40" s="5" t="s">
        <v>725</v>
      </c>
      <c r="C40" s="5" t="n">
        <v>35</v>
      </c>
      <c r="D40" s="5"/>
      <c r="E40" s="8" t="str">
        <f aca="false">IF(OR(C40="",D40=""),"",C40/D40)</f>
        <v/>
      </c>
      <c r="F40" s="5" t="s">
        <v>726</v>
      </c>
      <c r="G40" s="5" t="s">
        <v>727</v>
      </c>
    </row>
    <row r="41" customFormat="false" ht="23.85" hidden="false" customHeight="false" outlineLevel="0" collapsed="false">
      <c r="A41" s="5" t="s">
        <v>728</v>
      </c>
      <c r="B41" s="5" t="s">
        <v>729</v>
      </c>
      <c r="C41" s="5"/>
      <c r="D41" s="5"/>
      <c r="E41" s="8"/>
      <c r="F41" s="5"/>
      <c r="G41" s="5" t="s">
        <v>730</v>
      </c>
    </row>
    <row r="42" customFormat="false" ht="23.85" hidden="false" customHeight="false" outlineLevel="0" collapsed="false">
      <c r="A42" s="5" t="s">
        <v>728</v>
      </c>
      <c r="B42" s="5" t="s">
        <v>731</v>
      </c>
      <c r="C42" s="5"/>
      <c r="D42" s="5"/>
      <c r="E42" s="8"/>
      <c r="F42" s="5"/>
      <c r="G42" s="5" t="s">
        <v>730</v>
      </c>
    </row>
  </sheetData>
  <autoFilter ref="A1:G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7"/>
    <col collapsed="false" customWidth="true" hidden="false" outlineLevel="0" max="5" min="5" style="0" width="40"/>
    <col collapsed="false" customWidth="true" hidden="false" outlineLevel="0" max="6" min="6" style="0" width="10"/>
    <col collapsed="false" customWidth="true" hidden="false" outlineLevel="0" max="9" min="7" style="0" width="11"/>
    <col collapsed="false" customWidth="true" hidden="false" outlineLevel="0" max="10" min="10" style="0" width="24"/>
    <col collapsed="false" customWidth="true" hidden="false" outlineLevel="0" max="11" min="11" style="0" width="6"/>
    <col collapsed="false" customWidth="true" hidden="false" outlineLevel="0" max="12" min="12" style="0" width="8"/>
    <col collapsed="false" customWidth="true" hidden="false" outlineLevel="0" max="13" min="13" style="0" width="30"/>
    <col collapsed="false" customWidth="true" hidden="false" outlineLevel="0" max="14" min="14" style="0" width="50"/>
  </cols>
  <sheetData>
    <row r="1" customFormat="false" ht="30" hidden="false" customHeight="true" outlineLevel="0" collapsed="false">
      <c r="A1" s="4" t="s">
        <v>732</v>
      </c>
      <c r="B1" s="4" t="s">
        <v>117</v>
      </c>
      <c r="C1" s="4" t="s">
        <v>733</v>
      </c>
      <c r="D1" s="4" t="s">
        <v>734</v>
      </c>
      <c r="E1" s="4" t="s">
        <v>652</v>
      </c>
      <c r="F1" s="4" t="s">
        <v>735</v>
      </c>
      <c r="G1" s="4" t="s">
        <v>736</v>
      </c>
      <c r="H1" s="4" t="s">
        <v>737</v>
      </c>
      <c r="I1" s="4" t="s">
        <v>738</v>
      </c>
      <c r="J1" s="4" t="s">
        <v>739</v>
      </c>
      <c r="K1" s="4" t="s">
        <v>740</v>
      </c>
      <c r="L1" s="4" t="s">
        <v>741</v>
      </c>
      <c r="M1" s="4" t="s">
        <v>742</v>
      </c>
      <c r="N1" s="4" t="s">
        <v>743</v>
      </c>
    </row>
    <row r="2" customFormat="false" ht="23.85" hidden="false" customHeight="false" outlineLevel="0" collapsed="false">
      <c r="A2" s="5" t="s">
        <v>624</v>
      </c>
      <c r="B2" s="5" t="s">
        <v>430</v>
      </c>
      <c r="C2" s="5" t="s">
        <v>175</v>
      </c>
      <c r="D2" s="5" t="n">
        <v>1</v>
      </c>
      <c r="E2" s="5" t="s">
        <v>441</v>
      </c>
      <c r="F2" s="5" t="s">
        <v>440</v>
      </c>
      <c r="G2" s="6" t="n">
        <v>1052.46</v>
      </c>
      <c r="H2" s="6" t="n">
        <v>0</v>
      </c>
      <c r="I2" s="6" t="n">
        <v>1052.46</v>
      </c>
      <c r="J2" s="5" t="s">
        <v>261</v>
      </c>
      <c r="K2" s="5" t="s">
        <v>282</v>
      </c>
      <c r="L2" s="5" t="s">
        <v>287</v>
      </c>
      <c r="M2" s="5" t="s">
        <v>437</v>
      </c>
      <c r="N2" s="5"/>
    </row>
    <row r="3" customFormat="false" ht="23.85" hidden="false" customHeight="false" outlineLevel="0" collapsed="false">
      <c r="A3" s="5" t="s">
        <v>624</v>
      </c>
      <c r="B3" s="5" t="s">
        <v>430</v>
      </c>
      <c r="C3" s="5" t="s">
        <v>175</v>
      </c>
      <c r="D3" s="5" t="n">
        <v>2</v>
      </c>
      <c r="E3" s="5" t="s">
        <v>444</v>
      </c>
      <c r="F3" s="5" t="s">
        <v>443</v>
      </c>
      <c r="G3" s="6" t="n">
        <v>775.52</v>
      </c>
      <c r="H3" s="6" t="n">
        <v>0</v>
      </c>
      <c r="I3" s="6" t="n">
        <v>775.52</v>
      </c>
      <c r="J3" s="5" t="s">
        <v>261</v>
      </c>
      <c r="K3" s="5" t="s">
        <v>282</v>
      </c>
      <c r="L3" s="5" t="s">
        <v>287</v>
      </c>
      <c r="M3" s="5" t="s">
        <v>437</v>
      </c>
      <c r="N3" s="5"/>
    </row>
    <row r="4" customFormat="false" ht="23.85" hidden="false" customHeight="false" outlineLevel="0" collapsed="false">
      <c r="A4" s="5" t="s">
        <v>624</v>
      </c>
      <c r="B4" s="5" t="s">
        <v>430</v>
      </c>
      <c r="C4" s="5" t="s">
        <v>175</v>
      </c>
      <c r="D4" s="5" t="n">
        <v>3</v>
      </c>
      <c r="E4" s="5" t="s">
        <v>447</v>
      </c>
      <c r="F4" s="5" t="s">
        <v>446</v>
      </c>
      <c r="G4" s="6" t="n">
        <v>96.71</v>
      </c>
      <c r="H4" s="6" t="n">
        <v>0</v>
      </c>
      <c r="I4" s="6" t="n">
        <v>96.71</v>
      </c>
      <c r="J4" s="5" t="s">
        <v>261</v>
      </c>
      <c r="K4" s="5" t="s">
        <v>282</v>
      </c>
      <c r="L4" s="5" t="s">
        <v>287</v>
      </c>
      <c r="M4" s="5" t="s">
        <v>437</v>
      </c>
      <c r="N4" s="5"/>
    </row>
    <row r="5" customFormat="false" ht="23.85" hidden="false" customHeight="false" outlineLevel="0" collapsed="false">
      <c r="A5" s="5" t="s">
        <v>624</v>
      </c>
      <c r="B5" s="5" t="s">
        <v>430</v>
      </c>
      <c r="C5" s="5" t="s">
        <v>175</v>
      </c>
      <c r="D5" s="5" t="n">
        <v>4</v>
      </c>
      <c r="E5" s="5" t="s">
        <v>450</v>
      </c>
      <c r="F5" s="5" t="s">
        <v>449</v>
      </c>
      <c r="G5" s="6" t="n">
        <v>25.34</v>
      </c>
      <c r="H5" s="6" t="n">
        <v>0</v>
      </c>
      <c r="I5" s="6" t="n">
        <v>25.34</v>
      </c>
      <c r="J5" s="5" t="s">
        <v>261</v>
      </c>
      <c r="K5" s="5" t="s">
        <v>282</v>
      </c>
      <c r="L5" s="5" t="s">
        <v>287</v>
      </c>
      <c r="M5" s="5" t="s">
        <v>437</v>
      </c>
      <c r="N5" s="5"/>
    </row>
    <row r="6" customFormat="false" ht="23.85" hidden="false" customHeight="false" outlineLevel="0" collapsed="false">
      <c r="A6" s="5" t="s">
        <v>612</v>
      </c>
      <c r="B6" s="5" t="s">
        <v>426</v>
      </c>
      <c r="C6" s="5" t="s">
        <v>744</v>
      </c>
      <c r="D6" s="5" t="n">
        <v>1</v>
      </c>
      <c r="E6" s="5" t="s">
        <v>441</v>
      </c>
      <c r="F6" s="5" t="s">
        <v>452</v>
      </c>
      <c r="G6" s="6" t="n">
        <v>905.44</v>
      </c>
      <c r="H6" s="6" t="n">
        <v>905.44</v>
      </c>
      <c r="I6" s="6" t="n">
        <v>0</v>
      </c>
      <c r="J6" s="5" t="s">
        <v>261</v>
      </c>
      <c r="K6" s="5" t="s">
        <v>282</v>
      </c>
      <c r="L6" s="5" t="s">
        <v>287</v>
      </c>
      <c r="M6" s="5" t="s">
        <v>438</v>
      </c>
      <c r="N6" s="9" t="s">
        <v>745</v>
      </c>
    </row>
    <row r="7" customFormat="false" ht="23.85" hidden="false" customHeight="false" outlineLevel="0" collapsed="false">
      <c r="A7" s="5" t="s">
        <v>612</v>
      </c>
      <c r="B7" s="5" t="s">
        <v>426</v>
      </c>
      <c r="C7" s="5" t="s">
        <v>744</v>
      </c>
      <c r="D7" s="5" t="n">
        <v>2</v>
      </c>
      <c r="E7" s="5" t="s">
        <v>454</v>
      </c>
      <c r="F7" s="5" t="s">
        <v>453</v>
      </c>
      <c r="G7" s="6" t="n">
        <v>143.2</v>
      </c>
      <c r="H7" s="6" t="n">
        <v>143.2</v>
      </c>
      <c r="I7" s="6" t="n">
        <v>0</v>
      </c>
      <c r="J7" s="5" t="s">
        <v>261</v>
      </c>
      <c r="K7" s="5" t="s">
        <v>282</v>
      </c>
      <c r="L7" s="5" t="s">
        <v>287</v>
      </c>
      <c r="M7" s="5" t="s">
        <v>438</v>
      </c>
      <c r="N7" s="9" t="s">
        <v>745</v>
      </c>
    </row>
    <row r="8" customFormat="false" ht="23.85" hidden="false" customHeight="false" outlineLevel="0" collapsed="false">
      <c r="A8" s="5" t="s">
        <v>612</v>
      </c>
      <c r="B8" s="5" t="s">
        <v>426</v>
      </c>
      <c r="C8" s="5" t="s">
        <v>744</v>
      </c>
      <c r="D8" s="5" t="n">
        <v>3</v>
      </c>
      <c r="E8" s="5" t="s">
        <v>457</v>
      </c>
      <c r="F8" s="5" t="s">
        <v>456</v>
      </c>
      <c r="G8" s="6" t="n">
        <v>447.17</v>
      </c>
      <c r="H8" s="6" t="n">
        <v>447.17</v>
      </c>
      <c r="I8" s="6" t="n">
        <v>0</v>
      </c>
      <c r="J8" s="5" t="s">
        <v>261</v>
      </c>
      <c r="K8" s="5" t="s">
        <v>282</v>
      </c>
      <c r="L8" s="5" t="s">
        <v>287</v>
      </c>
      <c r="M8" s="5" t="s">
        <v>438</v>
      </c>
      <c r="N8" s="9" t="s">
        <v>745</v>
      </c>
    </row>
    <row r="9" customFormat="false" ht="23.85" hidden="false" customHeight="false" outlineLevel="0" collapsed="false">
      <c r="A9" s="5" t="s">
        <v>612</v>
      </c>
      <c r="B9" s="5" t="s">
        <v>426</v>
      </c>
      <c r="C9" s="5" t="s">
        <v>744</v>
      </c>
      <c r="D9" s="5" t="n">
        <v>4</v>
      </c>
      <c r="E9" s="5" t="s">
        <v>460</v>
      </c>
      <c r="F9" s="5" t="s">
        <v>459</v>
      </c>
      <c r="G9" s="6" t="n">
        <v>10.32</v>
      </c>
      <c r="H9" s="6" t="n">
        <v>10.32</v>
      </c>
      <c r="I9" s="6" t="n">
        <v>0</v>
      </c>
      <c r="J9" s="5" t="s">
        <v>261</v>
      </c>
      <c r="K9" s="5" t="s">
        <v>282</v>
      </c>
      <c r="L9" s="5" t="s">
        <v>287</v>
      </c>
      <c r="M9" s="5" t="s">
        <v>438</v>
      </c>
      <c r="N9" s="9" t="s">
        <v>745</v>
      </c>
    </row>
    <row r="10" customFormat="false" ht="23.85" hidden="false" customHeight="false" outlineLevel="0" collapsed="false">
      <c r="A10" s="5" t="s">
        <v>612</v>
      </c>
      <c r="B10" s="5" t="s">
        <v>426</v>
      </c>
      <c r="C10" s="5" t="s">
        <v>744</v>
      </c>
      <c r="D10" s="5" t="n">
        <v>5</v>
      </c>
      <c r="E10" s="5" t="s">
        <v>463</v>
      </c>
      <c r="F10" s="5" t="s">
        <v>462</v>
      </c>
      <c r="G10" s="6" t="n">
        <v>6.5</v>
      </c>
      <c r="H10" s="6" t="n">
        <v>6.5</v>
      </c>
      <c r="I10" s="6" t="n">
        <v>0</v>
      </c>
      <c r="J10" s="5" t="s">
        <v>261</v>
      </c>
      <c r="K10" s="5" t="s">
        <v>282</v>
      </c>
      <c r="L10" s="5" t="s">
        <v>287</v>
      </c>
      <c r="M10" s="5" t="s">
        <v>438</v>
      </c>
      <c r="N10" s="9" t="s">
        <v>745</v>
      </c>
    </row>
    <row r="11" customFormat="false" ht="23.85" hidden="false" customHeight="false" outlineLevel="0" collapsed="false">
      <c r="A11" s="5" t="s">
        <v>612</v>
      </c>
      <c r="B11" s="5" t="s">
        <v>426</v>
      </c>
      <c r="C11" s="5" t="s">
        <v>744</v>
      </c>
      <c r="D11" s="5" t="n">
        <v>6</v>
      </c>
      <c r="E11" s="5" t="s">
        <v>466</v>
      </c>
      <c r="F11" s="5" t="s">
        <v>465</v>
      </c>
      <c r="G11" s="6" t="n">
        <v>28.87</v>
      </c>
      <c r="H11" s="6" t="n">
        <v>28.87</v>
      </c>
      <c r="I11" s="6" t="n">
        <v>0</v>
      </c>
      <c r="J11" s="5" t="s">
        <v>261</v>
      </c>
      <c r="K11" s="5" t="s">
        <v>282</v>
      </c>
      <c r="L11" s="5" t="s">
        <v>287</v>
      </c>
      <c r="M11" s="5" t="s">
        <v>438</v>
      </c>
      <c r="N11" s="9" t="s">
        <v>745</v>
      </c>
    </row>
    <row r="12" customFormat="false" ht="23.85" hidden="false" customHeight="false" outlineLevel="0" collapsed="false">
      <c r="A12" s="5" t="s">
        <v>612</v>
      </c>
      <c r="B12" s="5" t="s">
        <v>426</v>
      </c>
      <c r="C12" s="5" t="s">
        <v>744</v>
      </c>
      <c r="D12" s="5" t="n">
        <v>7</v>
      </c>
      <c r="E12" s="5" t="s">
        <v>469</v>
      </c>
      <c r="F12" s="5" t="s">
        <v>468</v>
      </c>
      <c r="G12" s="6" t="n">
        <v>1.91</v>
      </c>
      <c r="H12" s="6" t="n">
        <v>1.91</v>
      </c>
      <c r="I12" s="6" t="n">
        <v>0</v>
      </c>
      <c r="J12" s="5" t="s">
        <v>261</v>
      </c>
      <c r="K12" s="5" t="s">
        <v>282</v>
      </c>
      <c r="L12" s="5" t="s">
        <v>287</v>
      </c>
      <c r="M12" s="5" t="s">
        <v>438</v>
      </c>
      <c r="N12" s="9" t="s">
        <v>745</v>
      </c>
    </row>
    <row r="13" customFormat="false" ht="23.85" hidden="false" customHeight="false" outlineLevel="0" collapsed="false">
      <c r="A13" s="5" t="s">
        <v>630</v>
      </c>
      <c r="B13" s="5" t="s">
        <v>432</v>
      </c>
      <c r="C13" s="5" t="s">
        <v>175</v>
      </c>
      <c r="D13" s="5" t="n">
        <v>1</v>
      </c>
      <c r="E13" s="5" t="s">
        <v>441</v>
      </c>
      <c r="F13" s="5" t="s">
        <v>440</v>
      </c>
      <c r="G13" s="6" t="n">
        <v>250.3</v>
      </c>
      <c r="H13" s="6" t="n">
        <v>0</v>
      </c>
      <c r="I13" s="6" t="n">
        <v>250.3</v>
      </c>
      <c r="J13" s="5" t="s">
        <v>261</v>
      </c>
      <c r="K13" s="5" t="s">
        <v>282</v>
      </c>
      <c r="L13" s="5" t="s">
        <v>287</v>
      </c>
      <c r="M13" s="5" t="s">
        <v>437</v>
      </c>
      <c r="N13" s="5"/>
    </row>
    <row r="14" customFormat="false" ht="23.85" hidden="false" customHeight="false" outlineLevel="0" collapsed="false">
      <c r="A14" s="5" t="s">
        <v>630</v>
      </c>
      <c r="B14" s="5" t="s">
        <v>432</v>
      </c>
      <c r="C14" s="5" t="s">
        <v>175</v>
      </c>
      <c r="D14" s="5" t="n">
        <v>2</v>
      </c>
      <c r="E14" s="5" t="s">
        <v>454</v>
      </c>
      <c r="F14" s="5" t="s">
        <v>453</v>
      </c>
      <c r="G14" s="6" t="n">
        <v>29.41</v>
      </c>
      <c r="H14" s="6" t="n">
        <v>0</v>
      </c>
      <c r="I14" s="6" t="n">
        <v>29.41</v>
      </c>
      <c r="J14" s="5" t="s">
        <v>261</v>
      </c>
      <c r="K14" s="5" t="s">
        <v>282</v>
      </c>
      <c r="L14" s="5" t="s">
        <v>287</v>
      </c>
      <c r="M14" s="5" t="s">
        <v>437</v>
      </c>
      <c r="N14" s="5"/>
    </row>
    <row r="15" customFormat="false" ht="23.85" hidden="false" customHeight="false" outlineLevel="0" collapsed="false">
      <c r="A15" s="5" t="s">
        <v>630</v>
      </c>
      <c r="B15" s="5" t="s">
        <v>432</v>
      </c>
      <c r="C15" s="5" t="s">
        <v>175</v>
      </c>
      <c r="D15" s="5" t="n">
        <v>3</v>
      </c>
      <c r="E15" s="5" t="s">
        <v>472</v>
      </c>
      <c r="F15" s="5" t="s">
        <v>471</v>
      </c>
      <c r="G15" s="6" t="n">
        <v>37.78</v>
      </c>
      <c r="H15" s="6" t="n">
        <v>0</v>
      </c>
      <c r="I15" s="6" t="n">
        <v>37.78</v>
      </c>
      <c r="J15" s="5" t="s">
        <v>261</v>
      </c>
      <c r="K15" s="5" t="s">
        <v>282</v>
      </c>
      <c r="L15" s="5" t="s">
        <v>287</v>
      </c>
      <c r="M15" s="5" t="s">
        <v>437</v>
      </c>
      <c r="N15" s="5"/>
    </row>
    <row r="16" customFormat="false" ht="23.85" hidden="false" customHeight="false" outlineLevel="0" collapsed="false">
      <c r="A16" s="5" t="s">
        <v>630</v>
      </c>
      <c r="B16" s="5" t="s">
        <v>432</v>
      </c>
      <c r="C16" s="5" t="s">
        <v>175</v>
      </c>
      <c r="D16" s="5" t="n">
        <v>4</v>
      </c>
      <c r="E16" s="5" t="s">
        <v>475</v>
      </c>
      <c r="F16" s="5" t="s">
        <v>474</v>
      </c>
      <c r="G16" s="6" t="n">
        <v>17.04</v>
      </c>
      <c r="H16" s="6" t="n">
        <v>0</v>
      </c>
      <c r="I16" s="6" t="n">
        <v>17.04</v>
      </c>
      <c r="J16" s="5" t="s">
        <v>261</v>
      </c>
      <c r="K16" s="5" t="s">
        <v>282</v>
      </c>
      <c r="L16" s="5" t="s">
        <v>287</v>
      </c>
      <c r="M16" s="5" t="s">
        <v>437</v>
      </c>
      <c r="N16" s="5"/>
    </row>
    <row r="17" customFormat="false" ht="23.85" hidden="false" customHeight="false" outlineLevel="0" collapsed="false">
      <c r="A17" s="5" t="s">
        <v>630</v>
      </c>
      <c r="B17" s="5" t="s">
        <v>432</v>
      </c>
      <c r="C17" s="5" t="s">
        <v>175</v>
      </c>
      <c r="D17" s="5" t="n">
        <v>5</v>
      </c>
      <c r="E17" s="5" t="s">
        <v>478</v>
      </c>
      <c r="F17" s="5" t="s">
        <v>477</v>
      </c>
      <c r="G17" s="6" t="n">
        <v>374.66</v>
      </c>
      <c r="H17" s="6" t="n">
        <v>350</v>
      </c>
      <c r="I17" s="6" t="n">
        <v>24.66</v>
      </c>
      <c r="J17" s="5" t="s">
        <v>261</v>
      </c>
      <c r="K17" s="5" t="s">
        <v>282</v>
      </c>
      <c r="L17" s="5" t="s">
        <v>287</v>
      </c>
      <c r="M17" s="5" t="s">
        <v>437</v>
      </c>
      <c r="N17" s="5"/>
    </row>
    <row r="18" customFormat="false" ht="23.85" hidden="false" customHeight="false" outlineLevel="0" collapsed="false">
      <c r="A18" s="5" t="s">
        <v>630</v>
      </c>
      <c r="B18" s="5" t="s">
        <v>432</v>
      </c>
      <c r="C18" s="5" t="s">
        <v>175</v>
      </c>
      <c r="D18" s="5" t="n">
        <v>6</v>
      </c>
      <c r="E18" s="5" t="s">
        <v>481</v>
      </c>
      <c r="F18" s="5" t="s">
        <v>480</v>
      </c>
      <c r="G18" s="6" t="n">
        <v>348.35</v>
      </c>
      <c r="H18" s="6" t="n">
        <v>0</v>
      </c>
      <c r="I18" s="6" t="n">
        <v>348.35</v>
      </c>
      <c r="J18" s="5" t="s">
        <v>261</v>
      </c>
      <c r="K18" s="5" t="s">
        <v>282</v>
      </c>
      <c r="L18" s="5" t="s">
        <v>287</v>
      </c>
      <c r="M18" s="5" t="s">
        <v>437</v>
      </c>
      <c r="N18" s="5"/>
    </row>
    <row r="19" customFormat="false" ht="23.85" hidden="false" customHeight="false" outlineLevel="0" collapsed="false">
      <c r="A19" s="5" t="s">
        <v>630</v>
      </c>
      <c r="B19" s="5" t="s">
        <v>432</v>
      </c>
      <c r="C19" s="5" t="s">
        <v>175</v>
      </c>
      <c r="D19" s="5" t="n">
        <v>7</v>
      </c>
      <c r="E19" s="5" t="s">
        <v>484</v>
      </c>
      <c r="F19" s="5" t="s">
        <v>483</v>
      </c>
      <c r="G19" s="6" t="n">
        <v>228.66</v>
      </c>
      <c r="H19" s="6" t="n">
        <v>0</v>
      </c>
      <c r="I19" s="6" t="n">
        <v>228.66</v>
      </c>
      <c r="J19" s="5" t="s">
        <v>261</v>
      </c>
      <c r="K19" s="5" t="s">
        <v>282</v>
      </c>
      <c r="L19" s="5" t="s">
        <v>287</v>
      </c>
      <c r="M19" s="5" t="s">
        <v>437</v>
      </c>
      <c r="N19" s="5"/>
    </row>
    <row r="20" customFormat="false" ht="23.85" hidden="false" customHeight="false" outlineLevel="0" collapsed="false">
      <c r="A20" s="5" t="s">
        <v>630</v>
      </c>
      <c r="B20" s="5" t="s">
        <v>432</v>
      </c>
      <c r="C20" s="5" t="s">
        <v>175</v>
      </c>
      <c r="D20" s="5" t="n">
        <v>8</v>
      </c>
      <c r="E20" s="5" t="s">
        <v>460</v>
      </c>
      <c r="F20" s="5" t="s">
        <v>459</v>
      </c>
      <c r="G20" s="6" t="n">
        <v>2.12</v>
      </c>
      <c r="H20" s="6" t="n">
        <v>0</v>
      </c>
      <c r="I20" s="6" t="n">
        <v>2.12</v>
      </c>
      <c r="J20" s="5" t="s">
        <v>261</v>
      </c>
      <c r="K20" s="5" t="s">
        <v>282</v>
      </c>
      <c r="L20" s="5" t="s">
        <v>287</v>
      </c>
      <c r="M20" s="5" t="s">
        <v>437</v>
      </c>
      <c r="N20" s="5"/>
    </row>
    <row r="21" customFormat="false" ht="23.85" hidden="false" customHeight="false" outlineLevel="0" collapsed="false">
      <c r="A21" s="5" t="s">
        <v>630</v>
      </c>
      <c r="B21" s="5" t="s">
        <v>432</v>
      </c>
      <c r="C21" s="5" t="s">
        <v>175</v>
      </c>
      <c r="D21" s="5" t="n">
        <v>9</v>
      </c>
      <c r="E21" s="5" t="s">
        <v>487</v>
      </c>
      <c r="F21" s="5" t="s">
        <v>486</v>
      </c>
      <c r="G21" s="6" t="n">
        <v>5.26</v>
      </c>
      <c r="H21" s="6" t="n">
        <v>0</v>
      </c>
      <c r="I21" s="6" t="n">
        <v>5.26</v>
      </c>
      <c r="J21" s="5" t="s">
        <v>261</v>
      </c>
      <c r="K21" s="5" t="s">
        <v>282</v>
      </c>
      <c r="L21" s="5" t="s">
        <v>287</v>
      </c>
      <c r="M21" s="5" t="s">
        <v>437</v>
      </c>
      <c r="N21" s="5"/>
    </row>
    <row r="22" customFormat="false" ht="23.85" hidden="false" customHeight="false" outlineLevel="0" collapsed="false">
      <c r="A22" s="5" t="s">
        <v>630</v>
      </c>
      <c r="B22" s="5" t="s">
        <v>432</v>
      </c>
      <c r="C22" s="5" t="s">
        <v>175</v>
      </c>
      <c r="D22" s="5" t="n">
        <v>10</v>
      </c>
      <c r="E22" s="5" t="s">
        <v>490</v>
      </c>
      <c r="F22" s="5" t="s">
        <v>489</v>
      </c>
      <c r="G22" s="6" t="n">
        <v>2.59</v>
      </c>
      <c r="H22" s="6" t="n">
        <v>0</v>
      </c>
      <c r="I22" s="6" t="n">
        <v>2.59</v>
      </c>
      <c r="J22" s="5" t="s">
        <v>261</v>
      </c>
      <c r="K22" s="5" t="s">
        <v>282</v>
      </c>
      <c r="L22" s="5" t="s">
        <v>287</v>
      </c>
      <c r="M22" s="5" t="s">
        <v>437</v>
      </c>
      <c r="N22" s="5"/>
    </row>
    <row r="23" customFormat="false" ht="23.85" hidden="false" customHeight="false" outlineLevel="0" collapsed="false">
      <c r="A23" s="5" t="s">
        <v>630</v>
      </c>
      <c r="B23" s="5" t="s">
        <v>432</v>
      </c>
      <c r="C23" s="5" t="s">
        <v>175</v>
      </c>
      <c r="D23" s="5" t="n">
        <v>11</v>
      </c>
      <c r="E23" s="5" t="s">
        <v>463</v>
      </c>
      <c r="F23" s="5" t="s">
        <v>462</v>
      </c>
      <c r="G23" s="6" t="n">
        <v>1.34</v>
      </c>
      <c r="H23" s="6" t="n">
        <v>0</v>
      </c>
      <c r="I23" s="6" t="n">
        <v>1.34</v>
      </c>
      <c r="J23" s="5" t="s">
        <v>261</v>
      </c>
      <c r="K23" s="5" t="s">
        <v>282</v>
      </c>
      <c r="L23" s="5" t="s">
        <v>287</v>
      </c>
      <c r="M23" s="5" t="s">
        <v>437</v>
      </c>
      <c r="N23" s="5"/>
    </row>
    <row r="24" customFormat="false" ht="23.85" hidden="false" customHeight="false" outlineLevel="0" collapsed="false">
      <c r="A24" s="5" t="s">
        <v>630</v>
      </c>
      <c r="B24" s="5" t="s">
        <v>432</v>
      </c>
      <c r="C24" s="5" t="s">
        <v>175</v>
      </c>
      <c r="D24" s="5" t="n">
        <v>12</v>
      </c>
      <c r="E24" s="5" t="s">
        <v>493</v>
      </c>
      <c r="F24" s="5" t="s">
        <v>492</v>
      </c>
      <c r="G24" s="6" t="n">
        <v>9.11</v>
      </c>
      <c r="H24" s="6" t="n">
        <v>0</v>
      </c>
      <c r="I24" s="6" t="n">
        <v>9.11</v>
      </c>
      <c r="J24" s="5" t="s">
        <v>261</v>
      </c>
      <c r="K24" s="5" t="s">
        <v>282</v>
      </c>
      <c r="L24" s="5" t="s">
        <v>287</v>
      </c>
      <c r="M24" s="5" t="s">
        <v>437</v>
      </c>
      <c r="N24" s="5"/>
    </row>
    <row r="25" customFormat="false" ht="23.85" hidden="false" customHeight="false" outlineLevel="0" collapsed="false">
      <c r="A25" s="5" t="s">
        <v>630</v>
      </c>
      <c r="B25" s="5" t="s">
        <v>432</v>
      </c>
      <c r="C25" s="5" t="s">
        <v>175</v>
      </c>
      <c r="D25" s="5" t="n">
        <v>13</v>
      </c>
      <c r="E25" s="5" t="s">
        <v>496</v>
      </c>
      <c r="F25" s="5" t="s">
        <v>495</v>
      </c>
      <c r="G25" s="6" t="n">
        <v>0.79</v>
      </c>
      <c r="H25" s="6" t="n">
        <v>0</v>
      </c>
      <c r="I25" s="6" t="n">
        <v>0.79</v>
      </c>
      <c r="J25" s="5" t="s">
        <v>261</v>
      </c>
      <c r="K25" s="5" t="s">
        <v>282</v>
      </c>
      <c r="L25" s="5" t="s">
        <v>287</v>
      </c>
      <c r="M25" s="5" t="s">
        <v>437</v>
      </c>
      <c r="N25" s="5"/>
    </row>
    <row r="26" customFormat="false" ht="23.85" hidden="false" customHeight="false" outlineLevel="0" collapsed="false">
      <c r="A26" s="5" t="s">
        <v>618</v>
      </c>
      <c r="B26" s="5" t="s">
        <v>428</v>
      </c>
      <c r="C26" s="5" t="s">
        <v>435</v>
      </c>
      <c r="D26" s="5" t="n">
        <v>1</v>
      </c>
      <c r="E26" s="5" t="s">
        <v>499</v>
      </c>
      <c r="F26" s="5" t="s">
        <v>498</v>
      </c>
      <c r="G26" s="6" t="n">
        <v>220.31</v>
      </c>
      <c r="H26" s="6" t="n">
        <v>4.72</v>
      </c>
      <c r="I26" s="6" t="n">
        <v>215.59</v>
      </c>
      <c r="J26" s="5" t="s">
        <v>261</v>
      </c>
      <c r="K26" s="5" t="s">
        <v>282</v>
      </c>
      <c r="L26" s="5" t="s">
        <v>287</v>
      </c>
      <c r="M26" s="5" t="s">
        <v>439</v>
      </c>
      <c r="N26" s="5"/>
    </row>
    <row r="27" customFormat="false" ht="35.05" hidden="false" customHeight="false" outlineLevel="0" collapsed="false">
      <c r="A27" s="5" t="s">
        <v>618</v>
      </c>
      <c r="B27" s="5" t="s">
        <v>428</v>
      </c>
      <c r="C27" s="5" t="s">
        <v>435</v>
      </c>
      <c r="D27" s="5" t="n">
        <v>2</v>
      </c>
      <c r="E27" s="5" t="s">
        <v>441</v>
      </c>
      <c r="F27" s="5" t="s">
        <v>440</v>
      </c>
      <c r="G27" s="6"/>
      <c r="H27" s="6"/>
      <c r="I27" s="6"/>
      <c r="J27" s="5" t="s">
        <v>261</v>
      </c>
      <c r="K27" s="5"/>
      <c r="L27" s="5"/>
      <c r="M27" s="5" t="s">
        <v>439</v>
      </c>
      <c r="N27" s="9" t="s">
        <v>746</v>
      </c>
    </row>
    <row r="28" customFormat="false" ht="35.05" hidden="false" customHeight="false" outlineLevel="0" collapsed="false">
      <c r="A28" s="5" t="s">
        <v>618</v>
      </c>
      <c r="B28" s="5" t="s">
        <v>428</v>
      </c>
      <c r="C28" s="5" t="s">
        <v>435</v>
      </c>
      <c r="D28" s="5" t="n">
        <v>3</v>
      </c>
      <c r="E28" s="5" t="s">
        <v>502</v>
      </c>
      <c r="F28" s="5" t="s">
        <v>501</v>
      </c>
      <c r="G28" s="6"/>
      <c r="H28" s="6"/>
      <c r="I28" s="6"/>
      <c r="J28" s="5" t="s">
        <v>261</v>
      </c>
      <c r="K28" s="5"/>
      <c r="L28" s="5"/>
      <c r="M28" s="5" t="s">
        <v>439</v>
      </c>
      <c r="N28" s="9" t="s">
        <v>746</v>
      </c>
    </row>
    <row r="29" customFormat="false" ht="35.05" hidden="false" customHeight="false" outlineLevel="0" collapsed="false">
      <c r="A29" s="5" t="s">
        <v>618</v>
      </c>
      <c r="B29" s="5" t="s">
        <v>428</v>
      </c>
      <c r="C29" s="5" t="s">
        <v>435</v>
      </c>
      <c r="D29" s="5" t="n">
        <v>4</v>
      </c>
      <c r="E29" s="5" t="s">
        <v>475</v>
      </c>
      <c r="F29" s="5" t="s">
        <v>474</v>
      </c>
      <c r="G29" s="6"/>
      <c r="H29" s="6"/>
      <c r="I29" s="6"/>
      <c r="J29" s="5" t="s">
        <v>261</v>
      </c>
      <c r="K29" s="5"/>
      <c r="L29" s="5"/>
      <c r="M29" s="5" t="s">
        <v>439</v>
      </c>
      <c r="N29" s="9" t="s">
        <v>746</v>
      </c>
    </row>
    <row r="30" customFormat="false" ht="35.05" hidden="false" customHeight="false" outlineLevel="0" collapsed="false">
      <c r="A30" s="5" t="s">
        <v>618</v>
      </c>
      <c r="B30" s="5" t="s">
        <v>428</v>
      </c>
      <c r="C30" s="5" t="s">
        <v>435</v>
      </c>
      <c r="D30" s="5" t="n">
        <v>5</v>
      </c>
      <c r="E30" s="5" t="s">
        <v>505</v>
      </c>
      <c r="F30" s="5" t="s">
        <v>504</v>
      </c>
      <c r="G30" s="6"/>
      <c r="H30" s="6"/>
      <c r="I30" s="6"/>
      <c r="J30" s="5" t="s">
        <v>261</v>
      </c>
      <c r="K30" s="5"/>
      <c r="L30" s="5"/>
      <c r="M30" s="5" t="s">
        <v>439</v>
      </c>
      <c r="N30" s="9" t="s">
        <v>746</v>
      </c>
    </row>
    <row r="31" customFormat="false" ht="35.05" hidden="false" customHeight="false" outlineLevel="0" collapsed="false">
      <c r="A31" s="5" t="s">
        <v>618</v>
      </c>
      <c r="B31" s="5" t="s">
        <v>428</v>
      </c>
      <c r="C31" s="5" t="s">
        <v>435</v>
      </c>
      <c r="D31" s="5" t="n">
        <v>6</v>
      </c>
      <c r="E31" s="5" t="s">
        <v>508</v>
      </c>
      <c r="F31" s="5" t="s">
        <v>507</v>
      </c>
      <c r="G31" s="6"/>
      <c r="H31" s="6"/>
      <c r="I31" s="6"/>
      <c r="J31" s="5" t="s">
        <v>261</v>
      </c>
      <c r="K31" s="5"/>
      <c r="L31" s="5"/>
      <c r="M31" s="5" t="s">
        <v>439</v>
      </c>
      <c r="N31" s="9" t="s">
        <v>746</v>
      </c>
    </row>
    <row r="32" customFormat="false" ht="35.05" hidden="false" customHeight="false" outlineLevel="0" collapsed="false">
      <c r="A32" s="5" t="s">
        <v>618</v>
      </c>
      <c r="B32" s="5" t="s">
        <v>428</v>
      </c>
      <c r="C32" s="5" t="s">
        <v>435</v>
      </c>
      <c r="D32" s="5" t="n">
        <v>7</v>
      </c>
      <c r="E32" s="5" t="s">
        <v>511</v>
      </c>
      <c r="F32" s="5" t="s">
        <v>510</v>
      </c>
      <c r="G32" s="6"/>
      <c r="H32" s="6"/>
      <c r="I32" s="6"/>
      <c r="J32" s="5" t="s">
        <v>261</v>
      </c>
      <c r="K32" s="5"/>
      <c r="L32" s="5"/>
      <c r="M32" s="5" t="s">
        <v>439</v>
      </c>
      <c r="N32" s="9" t="s">
        <v>746</v>
      </c>
    </row>
    <row r="33" customFormat="false" ht="35.05" hidden="false" customHeight="false" outlineLevel="0" collapsed="false">
      <c r="A33" s="5" t="s">
        <v>618</v>
      </c>
      <c r="B33" s="5" t="s">
        <v>428</v>
      </c>
      <c r="C33" s="5" t="s">
        <v>435</v>
      </c>
      <c r="D33" s="5" t="n">
        <v>8</v>
      </c>
      <c r="E33" s="5" t="s">
        <v>514</v>
      </c>
      <c r="F33" s="5" t="s">
        <v>513</v>
      </c>
      <c r="G33" s="6"/>
      <c r="H33" s="6"/>
      <c r="I33" s="6"/>
      <c r="J33" s="5" t="s">
        <v>261</v>
      </c>
      <c r="K33" s="5"/>
      <c r="L33" s="5"/>
      <c r="M33" s="5" t="s">
        <v>439</v>
      </c>
      <c r="N33" s="9" t="s">
        <v>746</v>
      </c>
    </row>
    <row r="34" customFormat="false" ht="35.05" hidden="false" customHeight="false" outlineLevel="0" collapsed="false">
      <c r="A34" s="5" t="s">
        <v>618</v>
      </c>
      <c r="B34" s="5" t="s">
        <v>428</v>
      </c>
      <c r="C34" s="5" t="s">
        <v>435</v>
      </c>
      <c r="D34" s="5" t="n">
        <v>9</v>
      </c>
      <c r="E34" s="5" t="s">
        <v>517</v>
      </c>
      <c r="F34" s="5" t="s">
        <v>516</v>
      </c>
      <c r="G34" s="6"/>
      <c r="H34" s="6"/>
      <c r="I34" s="6"/>
      <c r="J34" s="5" t="s">
        <v>261</v>
      </c>
      <c r="K34" s="5"/>
      <c r="L34" s="5"/>
      <c r="M34" s="5" t="s">
        <v>439</v>
      </c>
      <c r="N34" s="9" t="s">
        <v>746</v>
      </c>
    </row>
    <row r="35" customFormat="false" ht="35.05" hidden="false" customHeight="false" outlineLevel="0" collapsed="false">
      <c r="A35" s="5" t="s">
        <v>618</v>
      </c>
      <c r="B35" s="5" t="s">
        <v>428</v>
      </c>
      <c r="C35" s="5" t="s">
        <v>435</v>
      </c>
      <c r="D35" s="5" t="n">
        <v>10</v>
      </c>
      <c r="E35" s="5" t="s">
        <v>520</v>
      </c>
      <c r="F35" s="5" t="s">
        <v>519</v>
      </c>
      <c r="G35" s="6"/>
      <c r="H35" s="6"/>
      <c r="I35" s="6"/>
      <c r="J35" s="5" t="s">
        <v>261</v>
      </c>
      <c r="K35" s="5"/>
      <c r="L35" s="5"/>
      <c r="M35" s="5" t="s">
        <v>439</v>
      </c>
      <c r="N35" s="9" t="s">
        <v>746</v>
      </c>
    </row>
    <row r="36" customFormat="false" ht="35.05" hidden="false" customHeight="false" outlineLevel="0" collapsed="false">
      <c r="A36" s="5" t="s">
        <v>618</v>
      </c>
      <c r="B36" s="5" t="s">
        <v>428</v>
      </c>
      <c r="C36" s="5" t="s">
        <v>435</v>
      </c>
      <c r="D36" s="5" t="n">
        <v>11</v>
      </c>
      <c r="E36" s="5" t="s">
        <v>523</v>
      </c>
      <c r="F36" s="5" t="s">
        <v>522</v>
      </c>
      <c r="G36" s="6"/>
      <c r="H36" s="6"/>
      <c r="I36" s="6"/>
      <c r="J36" s="5" t="s">
        <v>261</v>
      </c>
      <c r="K36" s="5"/>
      <c r="L36" s="5"/>
      <c r="M36" s="5" t="s">
        <v>439</v>
      </c>
      <c r="N36" s="9" t="s">
        <v>746</v>
      </c>
    </row>
  </sheetData>
  <autoFilter ref="A1:N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5"/>
    <col collapsed="false" customWidth="true" hidden="false" outlineLevel="0" max="3" min="3" style="0" width="70"/>
    <col collapsed="false" customWidth="true" hidden="false" outlineLevel="0" max="4" min="4" style="0" width="11"/>
  </cols>
  <sheetData>
    <row r="1" customFormat="false" ht="30" hidden="false" customHeight="true" outlineLevel="0" collapsed="false">
      <c r="A1" s="4" t="s">
        <v>383</v>
      </c>
      <c r="B1" s="4" t="s">
        <v>747</v>
      </c>
      <c r="C1" s="4" t="s">
        <v>748</v>
      </c>
      <c r="D1" s="4" t="s">
        <v>749</v>
      </c>
    </row>
    <row r="2" customFormat="false" ht="23.85" hidden="false" customHeight="false" outlineLevel="0" collapsed="false">
      <c r="A2" s="5" t="s">
        <v>750</v>
      </c>
      <c r="B2" s="5" t="s">
        <v>751</v>
      </c>
      <c r="C2" s="5" t="s">
        <v>752</v>
      </c>
      <c r="D2" s="5" t="s">
        <v>753</v>
      </c>
    </row>
    <row r="3" customFormat="false" ht="35.05" hidden="false" customHeight="false" outlineLevel="0" collapsed="false">
      <c r="A3" s="5" t="s">
        <v>754</v>
      </c>
      <c r="B3" s="5" t="s">
        <v>755</v>
      </c>
      <c r="C3" s="5" t="s">
        <v>756</v>
      </c>
      <c r="D3" s="5" t="s">
        <v>753</v>
      </c>
    </row>
    <row r="4" customFormat="false" ht="35.05" hidden="false" customHeight="false" outlineLevel="0" collapsed="false">
      <c r="A4" s="5" t="s">
        <v>757</v>
      </c>
      <c r="B4" s="5" t="s">
        <v>758</v>
      </c>
      <c r="C4" s="5" t="s">
        <v>759</v>
      </c>
      <c r="D4" s="5" t="s">
        <v>753</v>
      </c>
    </row>
    <row r="5" customFormat="false" ht="23.85" hidden="false" customHeight="false" outlineLevel="0" collapsed="false">
      <c r="A5" s="5" t="s">
        <v>760</v>
      </c>
      <c r="B5" s="5" t="s">
        <v>761</v>
      </c>
      <c r="C5" s="5" t="s">
        <v>762</v>
      </c>
      <c r="D5" s="5" t="s">
        <v>753</v>
      </c>
    </row>
    <row r="6" customFormat="false" ht="15" hidden="false" customHeight="false" outlineLevel="0" collapsed="false">
      <c r="A6" s="5" t="s">
        <v>763</v>
      </c>
      <c r="B6" s="5" t="s">
        <v>764</v>
      </c>
      <c r="C6" s="5" t="s">
        <v>765</v>
      </c>
      <c r="D6" s="5" t="s">
        <v>753</v>
      </c>
    </row>
    <row r="7" customFormat="false" ht="35.05" hidden="false" customHeight="false" outlineLevel="0" collapsed="false">
      <c r="A7" s="5" t="s">
        <v>766</v>
      </c>
      <c r="B7" s="5" t="s">
        <v>767</v>
      </c>
      <c r="C7" s="5" t="s">
        <v>768</v>
      </c>
      <c r="D7" s="5" t="s">
        <v>753</v>
      </c>
    </row>
    <row r="8" customFormat="false" ht="35.05" hidden="false" customHeight="false" outlineLevel="0" collapsed="false">
      <c r="A8" s="5" t="s">
        <v>769</v>
      </c>
      <c r="B8" s="5" t="s">
        <v>770</v>
      </c>
      <c r="C8" s="5" t="s">
        <v>771</v>
      </c>
      <c r="D8" s="5" t="s">
        <v>772</v>
      </c>
    </row>
    <row r="9" customFormat="false" ht="23.85" hidden="false" customHeight="false" outlineLevel="0" collapsed="false">
      <c r="A9" s="5" t="s">
        <v>773</v>
      </c>
      <c r="B9" s="5" t="s">
        <v>774</v>
      </c>
      <c r="C9" s="5" t="s">
        <v>775</v>
      </c>
      <c r="D9" s="5" t="s">
        <v>753</v>
      </c>
    </row>
    <row r="10" customFormat="false" ht="23.85" hidden="false" customHeight="false" outlineLevel="0" collapsed="false">
      <c r="A10" s="5" t="s">
        <v>776</v>
      </c>
      <c r="B10" s="5" t="s">
        <v>777</v>
      </c>
      <c r="C10" s="5" t="s">
        <v>778</v>
      </c>
      <c r="D10" s="5" t="s">
        <v>772</v>
      </c>
    </row>
    <row r="11" customFormat="false" ht="15" hidden="false" customHeight="false" outlineLevel="0" collapsed="false">
      <c r="A11" s="5" t="s">
        <v>779</v>
      </c>
      <c r="B11" s="5" t="s">
        <v>780</v>
      </c>
      <c r="C11" s="5" t="s">
        <v>781</v>
      </c>
      <c r="D11" s="5" t="s">
        <v>772</v>
      </c>
    </row>
    <row r="12" customFormat="false" ht="23.85" hidden="false" customHeight="false" outlineLevel="0" collapsed="false">
      <c r="A12" s="5" t="s">
        <v>782</v>
      </c>
      <c r="B12" s="5" t="s">
        <v>783</v>
      </c>
      <c r="C12" s="5" t="s">
        <v>784</v>
      </c>
      <c r="D12" s="5" t="s">
        <v>753</v>
      </c>
    </row>
    <row r="13" customFormat="false" ht="23.85" hidden="false" customHeight="false" outlineLevel="0" collapsed="false">
      <c r="A13" s="5" t="s">
        <v>785</v>
      </c>
      <c r="B13" s="5" t="s">
        <v>786</v>
      </c>
      <c r="C13" s="5" t="s">
        <v>787</v>
      </c>
      <c r="D13" s="5" t="s">
        <v>772</v>
      </c>
    </row>
    <row r="14" customFormat="false" ht="23.85" hidden="false" customHeight="false" outlineLevel="0" collapsed="false">
      <c r="A14" s="5" t="s">
        <v>788</v>
      </c>
      <c r="B14" s="5" t="s">
        <v>789</v>
      </c>
      <c r="C14" s="5" t="s">
        <v>790</v>
      </c>
      <c r="D14" s="5" t="s">
        <v>791</v>
      </c>
    </row>
    <row r="15" customFormat="false" ht="23.85" hidden="false" customHeight="false" outlineLevel="0" collapsed="false">
      <c r="A15" s="5" t="s">
        <v>792</v>
      </c>
      <c r="B15" s="5" t="s">
        <v>793</v>
      </c>
      <c r="C15" s="5" t="s">
        <v>794</v>
      </c>
      <c r="D15" s="5" t="s">
        <v>753</v>
      </c>
    </row>
    <row r="16" customFormat="false" ht="23.85" hidden="false" customHeight="false" outlineLevel="0" collapsed="false">
      <c r="A16" s="5" t="s">
        <v>795</v>
      </c>
      <c r="B16" s="5" t="s">
        <v>796</v>
      </c>
      <c r="C16" s="5" t="s">
        <v>797</v>
      </c>
      <c r="D16" s="5" t="s">
        <v>753</v>
      </c>
    </row>
  </sheetData>
  <autoFilter ref="A1:D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55"/>
    <col collapsed="false" customWidth="true" hidden="false" outlineLevel="0" max="4" min="4" style="0" width="50"/>
    <col collapsed="false" customWidth="true" hidden="false" outlineLevel="0" max="5" min="5" style="0" width="15"/>
    <col collapsed="false" customWidth="true" hidden="false" outlineLevel="0" max="6" min="6" style="0" width="11"/>
  </cols>
  <sheetData>
    <row r="1" customFormat="false" ht="30" hidden="false" customHeight="true" outlineLevel="0" collapsed="false">
      <c r="A1" s="4" t="s">
        <v>798</v>
      </c>
      <c r="B1" s="4" t="s">
        <v>799</v>
      </c>
      <c r="C1" s="4" t="s">
        <v>800</v>
      </c>
      <c r="D1" s="4" t="s">
        <v>801</v>
      </c>
      <c r="E1" s="4" t="s">
        <v>802</v>
      </c>
      <c r="F1" s="4" t="s">
        <v>346</v>
      </c>
    </row>
    <row r="2" customFormat="false" ht="15" hidden="false" customHeight="false" outlineLevel="0" collapsed="false">
      <c r="A2" s="5" t="s">
        <v>803</v>
      </c>
      <c r="B2" s="5" t="s">
        <v>804</v>
      </c>
      <c r="C2" s="5" t="s">
        <v>805</v>
      </c>
      <c r="D2" s="5" t="s">
        <v>806</v>
      </c>
      <c r="E2" s="5" t="s">
        <v>807</v>
      </c>
      <c r="F2" s="5" t="s">
        <v>808</v>
      </c>
    </row>
    <row r="3" customFormat="false" ht="23.85" hidden="false" customHeight="false" outlineLevel="0" collapsed="false">
      <c r="A3" s="5" t="s">
        <v>138</v>
      </c>
      <c r="B3" s="5" t="s">
        <v>809</v>
      </c>
      <c r="C3" s="5" t="s">
        <v>810</v>
      </c>
      <c r="D3" s="5" t="s">
        <v>811</v>
      </c>
      <c r="E3" s="5" t="s">
        <v>807</v>
      </c>
      <c r="F3" s="5" t="s">
        <v>812</v>
      </c>
    </row>
    <row r="4" customFormat="false" ht="23.85" hidden="false" customHeight="false" outlineLevel="0" collapsed="false">
      <c r="A4" s="5" t="s">
        <v>148</v>
      </c>
      <c r="B4" s="5" t="s">
        <v>813</v>
      </c>
      <c r="C4" s="5" t="s">
        <v>814</v>
      </c>
      <c r="D4" s="5" t="s">
        <v>815</v>
      </c>
      <c r="E4" s="5" t="s">
        <v>807</v>
      </c>
      <c r="F4" s="5" t="s">
        <v>812</v>
      </c>
    </row>
    <row r="5" customFormat="false" ht="15" hidden="false" customHeight="false" outlineLevel="0" collapsed="false">
      <c r="A5" s="5" t="s">
        <v>143</v>
      </c>
      <c r="B5" s="5" t="s">
        <v>816</v>
      </c>
      <c r="C5" s="5" t="s">
        <v>817</v>
      </c>
      <c r="D5" s="5" t="s">
        <v>818</v>
      </c>
      <c r="E5" s="5" t="s">
        <v>807</v>
      </c>
      <c r="F5" s="5" t="s">
        <v>808</v>
      </c>
    </row>
    <row r="6" customFormat="false" ht="15" hidden="false" customHeight="false" outlineLevel="0" collapsed="false">
      <c r="A6" s="5" t="s">
        <v>819</v>
      </c>
      <c r="B6" s="5" t="s">
        <v>820</v>
      </c>
      <c r="C6" s="5" t="s">
        <v>821</v>
      </c>
      <c r="D6" s="5" t="s">
        <v>822</v>
      </c>
      <c r="E6" s="5" t="s">
        <v>807</v>
      </c>
      <c r="F6" s="5" t="s">
        <v>808</v>
      </c>
    </row>
    <row r="7" customFormat="false" ht="15" hidden="false" customHeight="false" outlineLevel="0" collapsed="false">
      <c r="A7" s="5" t="s">
        <v>823</v>
      </c>
      <c r="B7" s="5" t="s">
        <v>824</v>
      </c>
      <c r="C7" s="5" t="s">
        <v>825</v>
      </c>
      <c r="D7" s="5" t="s">
        <v>826</v>
      </c>
      <c r="E7" s="5" t="s">
        <v>807</v>
      </c>
      <c r="F7" s="5" t="s">
        <v>808</v>
      </c>
    </row>
    <row r="8" customFormat="false" ht="15" hidden="false" customHeight="false" outlineLevel="0" collapsed="false">
      <c r="A8" s="5" t="s">
        <v>827</v>
      </c>
      <c r="B8" s="5" t="s">
        <v>235</v>
      </c>
      <c r="C8" s="5" t="s">
        <v>828</v>
      </c>
      <c r="D8" s="5" t="s">
        <v>829</v>
      </c>
      <c r="E8" s="5" t="s">
        <v>807</v>
      </c>
      <c r="F8" s="5" t="s">
        <v>808</v>
      </c>
    </row>
    <row r="9" customFormat="false" ht="15" hidden="false" customHeight="false" outlineLevel="0" collapsed="false">
      <c r="A9" s="5" t="s">
        <v>830</v>
      </c>
      <c r="B9" s="5" t="s">
        <v>97</v>
      </c>
      <c r="C9" s="5" t="s">
        <v>831</v>
      </c>
      <c r="D9" s="5" t="s">
        <v>832</v>
      </c>
      <c r="E9" s="5" t="s">
        <v>807</v>
      </c>
      <c r="F9" s="5" t="s">
        <v>808</v>
      </c>
    </row>
    <row r="10" customFormat="false" ht="15" hidden="false" customHeight="false" outlineLevel="0" collapsed="false">
      <c r="A10" s="5" t="s">
        <v>833</v>
      </c>
      <c r="B10" s="5" t="s">
        <v>70</v>
      </c>
      <c r="C10" s="5" t="s">
        <v>834</v>
      </c>
      <c r="D10" s="5" t="s">
        <v>835</v>
      </c>
      <c r="E10" s="5" t="s">
        <v>807</v>
      </c>
      <c r="F10" s="5" t="s">
        <v>836</v>
      </c>
    </row>
    <row r="11" customFormat="false" ht="15" hidden="false" customHeight="false" outlineLevel="0" collapsed="false">
      <c r="A11" s="5" t="s">
        <v>837</v>
      </c>
      <c r="B11" s="5" t="s">
        <v>78</v>
      </c>
      <c r="C11" s="5" t="s">
        <v>838</v>
      </c>
      <c r="D11" s="5" t="s">
        <v>839</v>
      </c>
      <c r="E11" s="5" t="s">
        <v>807</v>
      </c>
      <c r="F11" s="5" t="s">
        <v>836</v>
      </c>
    </row>
    <row r="12" customFormat="false" ht="15" hidden="false" customHeight="false" outlineLevel="0" collapsed="false">
      <c r="A12" s="5" t="s">
        <v>840</v>
      </c>
      <c r="B12" s="5" t="s">
        <v>54</v>
      </c>
      <c r="C12" s="5" t="s">
        <v>841</v>
      </c>
      <c r="D12" s="5" t="s">
        <v>842</v>
      </c>
      <c r="E12" s="5" t="s">
        <v>807</v>
      </c>
      <c r="F12" s="5" t="s">
        <v>836</v>
      </c>
    </row>
    <row r="13" customFormat="false" ht="15" hidden="false" customHeight="false" outlineLevel="0" collapsed="false">
      <c r="A13" s="5" t="s">
        <v>843</v>
      </c>
      <c r="B13" s="5" t="s">
        <v>107</v>
      </c>
      <c r="C13" s="5" t="s">
        <v>841</v>
      </c>
      <c r="D13" s="5" t="s">
        <v>842</v>
      </c>
      <c r="E13" s="5" t="s">
        <v>807</v>
      </c>
      <c r="F13" s="5" t="s">
        <v>836</v>
      </c>
    </row>
    <row r="14" customFormat="false" ht="15" hidden="false" customHeight="false" outlineLevel="0" collapsed="false">
      <c r="A14" s="5" t="s">
        <v>844</v>
      </c>
      <c r="B14" s="5" t="s">
        <v>97</v>
      </c>
      <c r="C14" s="5" t="s">
        <v>845</v>
      </c>
      <c r="D14" s="5" t="s">
        <v>549</v>
      </c>
      <c r="E14" s="5" t="s">
        <v>807</v>
      </c>
      <c r="F14" s="5" t="s">
        <v>836</v>
      </c>
    </row>
    <row r="15" customFormat="false" ht="23.85" hidden="false" customHeight="false" outlineLevel="0" collapsed="false">
      <c r="A15" s="5" t="s">
        <v>846</v>
      </c>
      <c r="B15" s="5" t="s">
        <v>97</v>
      </c>
      <c r="C15" s="5" t="s">
        <v>847</v>
      </c>
      <c r="D15" s="5" t="s">
        <v>848</v>
      </c>
      <c r="E15" s="5" t="s">
        <v>849</v>
      </c>
      <c r="F15" s="5" t="s">
        <v>836</v>
      </c>
    </row>
    <row r="16" customFormat="false" ht="23.85" hidden="false" customHeight="false" outlineLevel="0" collapsed="false">
      <c r="A16" s="5" t="s">
        <v>850</v>
      </c>
      <c r="B16" s="5" t="s">
        <v>851</v>
      </c>
      <c r="C16" s="5" t="s">
        <v>852</v>
      </c>
      <c r="D16" s="5" t="s">
        <v>853</v>
      </c>
      <c r="E16" s="5" t="s">
        <v>849</v>
      </c>
      <c r="F16" s="5" t="s">
        <v>836</v>
      </c>
    </row>
    <row r="17" customFormat="false" ht="15" hidden="false" customHeight="false" outlineLevel="0" collapsed="false">
      <c r="A17" s="5" t="s">
        <v>854</v>
      </c>
      <c r="B17" s="5" t="s">
        <v>855</v>
      </c>
      <c r="C17" s="5" t="s">
        <v>856</v>
      </c>
      <c r="D17" s="5" t="s">
        <v>857</v>
      </c>
      <c r="E17" s="5" t="s">
        <v>849</v>
      </c>
      <c r="F17" s="5" t="s">
        <v>836</v>
      </c>
    </row>
    <row r="18" customFormat="false" ht="15" hidden="false" customHeight="false" outlineLevel="0" collapsed="false">
      <c r="A18" s="5" t="s">
        <v>858</v>
      </c>
      <c r="B18" s="5" t="s">
        <v>859</v>
      </c>
      <c r="C18" s="5" t="s">
        <v>860</v>
      </c>
      <c r="D18" s="5" t="s">
        <v>861</v>
      </c>
      <c r="E18" s="5" t="s">
        <v>849</v>
      </c>
      <c r="F18" s="5" t="s">
        <v>836</v>
      </c>
    </row>
    <row r="19" customFormat="false" ht="15" hidden="false" customHeight="false" outlineLevel="0" collapsed="false">
      <c r="A19" s="5" t="s">
        <v>862</v>
      </c>
      <c r="B19" s="5" t="s">
        <v>863</v>
      </c>
      <c r="C19" s="5" t="s">
        <v>864</v>
      </c>
      <c r="D19" s="5" t="s">
        <v>865</v>
      </c>
      <c r="E19" s="5" t="s">
        <v>849</v>
      </c>
      <c r="F19" s="5" t="s">
        <v>836</v>
      </c>
    </row>
    <row r="20" customFormat="false" ht="23.85" hidden="false" customHeight="false" outlineLevel="0" collapsed="false">
      <c r="A20" s="5" t="s">
        <v>866</v>
      </c>
      <c r="B20" s="5" t="s">
        <v>867</v>
      </c>
      <c r="C20" s="5" t="s">
        <v>868</v>
      </c>
      <c r="D20" s="5" t="s">
        <v>869</v>
      </c>
      <c r="E20" s="5" t="s">
        <v>807</v>
      </c>
      <c r="F20" s="5" t="s">
        <v>812</v>
      </c>
    </row>
    <row r="21" customFormat="false" ht="15" hidden="false" customHeight="false" outlineLevel="0" collapsed="false">
      <c r="A21" s="5" t="s">
        <v>870</v>
      </c>
      <c r="B21" s="5" t="s">
        <v>871</v>
      </c>
      <c r="C21" s="5" t="s">
        <v>872</v>
      </c>
      <c r="D21" s="5" t="s">
        <v>873</v>
      </c>
      <c r="E21" s="5" t="s">
        <v>807</v>
      </c>
      <c r="F21" s="5" t="s">
        <v>808</v>
      </c>
    </row>
    <row r="22" customFormat="false" ht="15" hidden="false" customHeight="false" outlineLevel="0" collapsed="false">
      <c r="A22" s="5" t="s">
        <v>874</v>
      </c>
      <c r="B22" s="5" t="s">
        <v>871</v>
      </c>
      <c r="C22" s="5" t="s">
        <v>875</v>
      </c>
      <c r="D22" s="5" t="s">
        <v>876</v>
      </c>
      <c r="E22" s="5" t="s">
        <v>807</v>
      </c>
      <c r="F22" s="5" t="s">
        <v>808</v>
      </c>
    </row>
    <row r="23" customFormat="false" ht="15" hidden="false" customHeight="false" outlineLevel="0" collapsed="false">
      <c r="A23" s="5" t="s">
        <v>877</v>
      </c>
      <c r="B23" s="5" t="s">
        <v>229</v>
      </c>
      <c r="C23" s="5" t="s">
        <v>878</v>
      </c>
      <c r="D23" s="5" t="s">
        <v>879</v>
      </c>
      <c r="E23" s="5" t="s">
        <v>849</v>
      </c>
      <c r="F23" s="5" t="s">
        <v>836</v>
      </c>
    </row>
    <row r="24" customFormat="false" ht="23.85" hidden="false" customHeight="false" outlineLevel="0" collapsed="false">
      <c r="A24" s="5" t="s">
        <v>880</v>
      </c>
      <c r="B24" s="5" t="s">
        <v>243</v>
      </c>
      <c r="C24" s="5" t="s">
        <v>881</v>
      </c>
      <c r="D24" s="5" t="s">
        <v>882</v>
      </c>
      <c r="E24" s="5" t="s">
        <v>807</v>
      </c>
      <c r="F24" s="5" t="s">
        <v>812</v>
      </c>
    </row>
    <row r="25" customFormat="false" ht="15" hidden="false" customHeight="false" outlineLevel="0" collapsed="false">
      <c r="A25" s="5" t="s">
        <v>883</v>
      </c>
      <c r="B25" s="5" t="s">
        <v>102</v>
      </c>
      <c r="C25" s="5" t="s">
        <v>884</v>
      </c>
      <c r="D25" s="5" t="s">
        <v>885</v>
      </c>
      <c r="E25" s="5" t="s">
        <v>807</v>
      </c>
      <c r="F25" s="5" t="s">
        <v>808</v>
      </c>
    </row>
    <row r="26" customFormat="false" ht="15" hidden="false" customHeight="false" outlineLevel="0" collapsed="false">
      <c r="A26" s="5" t="s">
        <v>886</v>
      </c>
      <c r="B26" s="5" t="s">
        <v>265</v>
      </c>
      <c r="C26" s="5" t="s">
        <v>887</v>
      </c>
      <c r="D26" s="5" t="s">
        <v>888</v>
      </c>
      <c r="E26" s="5" t="s">
        <v>807</v>
      </c>
      <c r="F26" s="5" t="s">
        <v>808</v>
      </c>
    </row>
    <row r="27" customFormat="false" ht="15" hidden="false" customHeight="false" outlineLevel="0" collapsed="false">
      <c r="A27" s="5" t="s">
        <v>889</v>
      </c>
      <c r="B27" s="5" t="s">
        <v>296</v>
      </c>
      <c r="C27" s="5" t="s">
        <v>805</v>
      </c>
      <c r="D27" s="5" t="s">
        <v>890</v>
      </c>
      <c r="E27" s="5" t="s">
        <v>807</v>
      </c>
      <c r="F27" s="5" t="s">
        <v>836</v>
      </c>
    </row>
    <row r="28" customFormat="false" ht="15" hidden="false" customHeight="false" outlineLevel="0" collapsed="false">
      <c r="A28" s="5" t="s">
        <v>891</v>
      </c>
      <c r="B28" s="5" t="s">
        <v>303</v>
      </c>
      <c r="C28" s="5" t="s">
        <v>892</v>
      </c>
      <c r="D28" s="5" t="s">
        <v>893</v>
      </c>
      <c r="E28" s="5" t="s">
        <v>807</v>
      </c>
      <c r="F28" s="5" t="s">
        <v>836</v>
      </c>
    </row>
    <row r="29" customFormat="false" ht="15" hidden="false" customHeight="false" outlineLevel="0" collapsed="false">
      <c r="A29" s="5" t="s">
        <v>894</v>
      </c>
      <c r="B29" s="5" t="s">
        <v>327</v>
      </c>
      <c r="C29" s="5" t="s">
        <v>895</v>
      </c>
      <c r="D29" s="5" t="s">
        <v>896</v>
      </c>
      <c r="E29" s="5" t="s">
        <v>807</v>
      </c>
      <c r="F29" s="5" t="s">
        <v>812</v>
      </c>
    </row>
    <row r="30" customFormat="false" ht="15" hidden="false" customHeight="false" outlineLevel="0" collapsed="false">
      <c r="A30" s="5" t="s">
        <v>333</v>
      </c>
      <c r="B30" s="5" t="s">
        <v>332</v>
      </c>
      <c r="C30" s="5" t="s">
        <v>897</v>
      </c>
      <c r="D30" s="5" t="s">
        <v>898</v>
      </c>
      <c r="E30" s="5" t="s">
        <v>807</v>
      </c>
      <c r="F30" s="5" t="s">
        <v>836</v>
      </c>
    </row>
    <row r="31" customFormat="false" ht="15" hidden="false" customHeight="false" outlineLevel="0" collapsed="false">
      <c r="A31" s="5" t="s">
        <v>899</v>
      </c>
      <c r="B31" s="5" t="s">
        <v>336</v>
      </c>
      <c r="C31" s="5" t="s">
        <v>900</v>
      </c>
      <c r="D31" s="5" t="s">
        <v>901</v>
      </c>
      <c r="E31" s="5" t="s">
        <v>807</v>
      </c>
      <c r="F31" s="5" t="s">
        <v>812</v>
      </c>
    </row>
    <row r="32" customFormat="false" ht="23.85" hidden="false" customHeight="false" outlineLevel="0" collapsed="false">
      <c r="A32" s="5" t="s">
        <v>902</v>
      </c>
      <c r="B32" s="5" t="s">
        <v>903</v>
      </c>
      <c r="C32" s="5" t="s">
        <v>904</v>
      </c>
      <c r="D32" s="5" t="s">
        <v>905</v>
      </c>
      <c r="E32" s="5" t="s">
        <v>849</v>
      </c>
      <c r="F32" s="5" t="s">
        <v>836</v>
      </c>
    </row>
    <row r="33" customFormat="false" ht="15" hidden="false" customHeight="false" outlineLevel="0" collapsed="false">
      <c r="A33" s="5" t="s">
        <v>906</v>
      </c>
      <c r="B33" s="5" t="s">
        <v>907</v>
      </c>
      <c r="C33" s="5" t="s">
        <v>908</v>
      </c>
      <c r="D33" s="5" t="s">
        <v>909</v>
      </c>
      <c r="E33" s="5" t="s">
        <v>807</v>
      </c>
      <c r="F33" s="5" t="s">
        <v>808</v>
      </c>
    </row>
    <row r="34" customFormat="false" ht="15" hidden="false" customHeight="false" outlineLevel="0" collapsed="false">
      <c r="A34" s="5" t="s">
        <v>910</v>
      </c>
      <c r="B34" s="5" t="s">
        <v>274</v>
      </c>
      <c r="C34" s="5" t="s">
        <v>911</v>
      </c>
      <c r="D34" s="5" t="s">
        <v>912</v>
      </c>
      <c r="E34" s="5" t="s">
        <v>310</v>
      </c>
      <c r="F34" s="5" t="s">
        <v>812</v>
      </c>
    </row>
    <row r="35" customFormat="false" ht="15" hidden="false" customHeight="false" outlineLevel="0" collapsed="false">
      <c r="A35" s="5" t="s">
        <v>913</v>
      </c>
      <c r="B35" s="5" t="s">
        <v>914</v>
      </c>
      <c r="C35" s="5" t="s">
        <v>915</v>
      </c>
      <c r="D35" s="5" t="s">
        <v>916</v>
      </c>
      <c r="E35" s="5" t="s">
        <v>807</v>
      </c>
      <c r="F35" s="5" t="s">
        <v>808</v>
      </c>
    </row>
    <row r="36" customFormat="false" ht="15" hidden="false" customHeight="false" outlineLevel="0" collapsed="false">
      <c r="A36" s="5" t="s">
        <v>917</v>
      </c>
      <c r="B36" s="5" t="s">
        <v>918</v>
      </c>
      <c r="C36" s="5" t="s">
        <v>919</v>
      </c>
      <c r="D36" s="5" t="s">
        <v>920</v>
      </c>
      <c r="E36" s="5" t="s">
        <v>807</v>
      </c>
      <c r="F36" s="5" t="s">
        <v>808</v>
      </c>
    </row>
    <row r="37" customFormat="false" ht="15" hidden="false" customHeight="false" outlineLevel="0" collapsed="false">
      <c r="A37" s="5" t="s">
        <v>921</v>
      </c>
      <c r="B37" s="5" t="s">
        <v>918</v>
      </c>
      <c r="C37" s="5" t="s">
        <v>922</v>
      </c>
      <c r="D37" s="5" t="s">
        <v>923</v>
      </c>
      <c r="E37" s="5" t="s">
        <v>807</v>
      </c>
      <c r="F37" s="5" t="s">
        <v>808</v>
      </c>
    </row>
    <row r="38" customFormat="false" ht="23.85" hidden="false" customHeight="false" outlineLevel="0" collapsed="false">
      <c r="A38" s="5" t="s">
        <v>924</v>
      </c>
      <c r="B38" s="5" t="s">
        <v>925</v>
      </c>
      <c r="C38" s="5" t="s">
        <v>926</v>
      </c>
      <c r="D38" s="5" t="s">
        <v>927</v>
      </c>
      <c r="E38" s="5" t="s">
        <v>849</v>
      </c>
      <c r="F38" s="5" t="s">
        <v>928</v>
      </c>
    </row>
  </sheetData>
  <autoFilter ref="A1:F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8"/>
    <col collapsed="false" customWidth="true" hidden="false" outlineLevel="0" max="4" min="4" style="0" width="20"/>
    <col collapsed="false" customWidth="true" hidden="false" outlineLevel="0" max="5" min="5" style="0" width="60"/>
    <col collapsed="false" customWidth="true" hidden="false" outlineLevel="0" max="6" min="6" style="0" width="30"/>
    <col collapsed="false" customWidth="true" hidden="false" outlineLevel="0" max="7" min="7" style="0" width="16"/>
  </cols>
  <sheetData>
    <row r="1" customFormat="false" ht="30" hidden="false" customHeight="true" outlineLevel="0" collapsed="false">
      <c r="A1" s="4" t="s">
        <v>929</v>
      </c>
      <c r="B1" s="4" t="s">
        <v>930</v>
      </c>
      <c r="C1" s="4" t="s">
        <v>931</v>
      </c>
      <c r="D1" s="4" t="s">
        <v>932</v>
      </c>
      <c r="E1" s="4" t="s">
        <v>933</v>
      </c>
      <c r="F1" s="4" t="s">
        <v>934</v>
      </c>
      <c r="G1" s="4" t="s">
        <v>935</v>
      </c>
    </row>
    <row r="2" customFormat="false" ht="23.85" hidden="false" customHeight="false" outlineLevel="0" collapsed="false">
      <c r="A2" s="5" t="s">
        <v>912</v>
      </c>
      <c r="B2" s="5" t="s">
        <v>936</v>
      </c>
      <c r="C2" s="5" t="s">
        <v>937</v>
      </c>
      <c r="D2" s="5" t="s">
        <v>938</v>
      </c>
      <c r="E2" s="5" t="s">
        <v>939</v>
      </c>
      <c r="F2" s="5" t="s">
        <v>940</v>
      </c>
      <c r="G2" s="5" t="s">
        <v>941</v>
      </c>
    </row>
    <row r="3" customFormat="false" ht="15" hidden="false" customHeight="false" outlineLevel="0" collapsed="false">
      <c r="A3" s="5" t="s">
        <v>937</v>
      </c>
      <c r="B3" s="5" t="s">
        <v>942</v>
      </c>
      <c r="C3" s="5" t="s">
        <v>937</v>
      </c>
      <c r="D3" s="5" t="s">
        <v>938</v>
      </c>
      <c r="E3" s="5" t="s">
        <v>943</v>
      </c>
      <c r="F3" s="5" t="s">
        <v>944</v>
      </c>
      <c r="G3" s="5" t="s">
        <v>945</v>
      </c>
    </row>
    <row r="4" customFormat="false" ht="23.85" hidden="false" customHeight="false" outlineLevel="0" collapsed="false">
      <c r="A4" s="5" t="s">
        <v>937</v>
      </c>
      <c r="B4" s="5" t="s">
        <v>946</v>
      </c>
      <c r="C4" s="5" t="s">
        <v>937</v>
      </c>
      <c r="D4" s="5" t="s">
        <v>938</v>
      </c>
      <c r="E4" s="5" t="s">
        <v>947</v>
      </c>
      <c r="F4" s="5" t="s">
        <v>948</v>
      </c>
      <c r="G4" s="5" t="s">
        <v>949</v>
      </c>
    </row>
    <row r="5" customFormat="false" ht="23.85" hidden="false" customHeight="false" outlineLevel="0" collapsed="false">
      <c r="A5" s="5" t="s">
        <v>937</v>
      </c>
      <c r="B5" s="5" t="s">
        <v>950</v>
      </c>
      <c r="C5" s="5" t="s">
        <v>951</v>
      </c>
      <c r="D5" s="5" t="s">
        <v>938</v>
      </c>
      <c r="E5" s="5" t="s">
        <v>952</v>
      </c>
      <c r="F5" s="5" t="s">
        <v>953</v>
      </c>
      <c r="G5" s="5" t="s">
        <v>954</v>
      </c>
    </row>
    <row r="6" customFormat="false" ht="23.85" hidden="false" customHeight="false" outlineLevel="0" collapsed="false">
      <c r="A6" s="5" t="s">
        <v>951</v>
      </c>
      <c r="B6" s="5" t="s">
        <v>325</v>
      </c>
      <c r="C6" s="5" t="s">
        <v>955</v>
      </c>
      <c r="D6" s="5" t="s">
        <v>956</v>
      </c>
      <c r="E6" s="5" t="s">
        <v>957</v>
      </c>
      <c r="F6" s="5" t="s">
        <v>958</v>
      </c>
      <c r="G6" s="5" t="s">
        <v>954</v>
      </c>
    </row>
    <row r="7" customFormat="false" ht="15" hidden="false" customHeight="false" outlineLevel="0" collapsed="false">
      <c r="A7" s="5" t="s">
        <v>951</v>
      </c>
      <c r="B7" s="5" t="s">
        <v>335</v>
      </c>
      <c r="C7" s="5" t="s">
        <v>959</v>
      </c>
      <c r="D7" s="5" t="s">
        <v>956</v>
      </c>
      <c r="E7" s="5" t="s">
        <v>960</v>
      </c>
      <c r="F7" s="5" t="s">
        <v>961</v>
      </c>
      <c r="G7" s="5" t="s">
        <v>954</v>
      </c>
    </row>
    <row r="8" customFormat="false" ht="15" hidden="false" customHeight="false" outlineLevel="0" collapsed="false">
      <c r="A8" s="5" t="s">
        <v>951</v>
      </c>
      <c r="B8" s="5" t="s">
        <v>962</v>
      </c>
      <c r="C8" s="5" t="s">
        <v>951</v>
      </c>
      <c r="D8" s="5" t="s">
        <v>938</v>
      </c>
      <c r="E8" s="5" t="s">
        <v>963</v>
      </c>
      <c r="F8" s="5" t="s">
        <v>964</v>
      </c>
      <c r="G8" s="5" t="s">
        <v>941</v>
      </c>
    </row>
    <row r="9" customFormat="false" ht="15" hidden="false" customHeight="false" outlineLevel="0" collapsed="false">
      <c r="A9" s="5" t="s">
        <v>959</v>
      </c>
      <c r="B9" s="5" t="s">
        <v>965</v>
      </c>
      <c r="C9" s="5" t="s">
        <v>959</v>
      </c>
      <c r="D9" s="5" t="s">
        <v>938</v>
      </c>
      <c r="E9" s="5" t="s">
        <v>966</v>
      </c>
      <c r="F9" s="5" t="s">
        <v>964</v>
      </c>
      <c r="G9" s="5" t="s">
        <v>941</v>
      </c>
    </row>
    <row r="10" customFormat="false" ht="15" hidden="false" customHeight="false" outlineLevel="0" collapsed="false">
      <c r="A10" s="5" t="s">
        <v>959</v>
      </c>
      <c r="B10" s="5" t="s">
        <v>950</v>
      </c>
      <c r="C10" s="5" t="s">
        <v>951</v>
      </c>
      <c r="D10" s="5" t="s">
        <v>938</v>
      </c>
      <c r="E10" s="5" t="s">
        <v>967</v>
      </c>
      <c r="F10" s="5" t="s">
        <v>953</v>
      </c>
      <c r="G10" s="5" t="s">
        <v>954</v>
      </c>
    </row>
    <row r="11" customFormat="false" ht="15" hidden="false" customHeight="false" outlineLevel="0" collapsed="false">
      <c r="A11" s="5" t="s">
        <v>955</v>
      </c>
      <c r="B11" s="5" t="s">
        <v>968</v>
      </c>
      <c r="C11" s="5" t="s">
        <v>955</v>
      </c>
      <c r="D11" s="5" t="s">
        <v>969</v>
      </c>
      <c r="E11" s="5" t="s">
        <v>970</v>
      </c>
      <c r="F11" s="5" t="s">
        <v>971</v>
      </c>
      <c r="G11" s="5" t="s">
        <v>971</v>
      </c>
    </row>
    <row r="12" customFormat="false" ht="23.85" hidden="false" customHeight="false" outlineLevel="0" collapsed="false">
      <c r="A12" s="5" t="s">
        <v>972</v>
      </c>
      <c r="B12" s="5" t="s">
        <v>973</v>
      </c>
      <c r="C12" s="5" t="s">
        <v>974</v>
      </c>
      <c r="D12" s="5" t="s">
        <v>592</v>
      </c>
      <c r="E12" s="5" t="s">
        <v>975</v>
      </c>
      <c r="F12" s="5" t="s">
        <v>976</v>
      </c>
      <c r="G12" s="5" t="s">
        <v>977</v>
      </c>
    </row>
    <row r="13" customFormat="false" ht="15" hidden="false" customHeight="false" outlineLevel="0" collapsed="false">
      <c r="A13" s="5" t="s">
        <v>972</v>
      </c>
      <c r="B13" s="5" t="s">
        <v>978</v>
      </c>
      <c r="C13" s="5" t="s">
        <v>974</v>
      </c>
      <c r="D13" s="5" t="s">
        <v>979</v>
      </c>
      <c r="E13" s="5" t="s">
        <v>980</v>
      </c>
      <c r="F13" s="5" t="s">
        <v>981</v>
      </c>
      <c r="G13" s="5" t="s">
        <v>971</v>
      </c>
    </row>
  </sheetData>
  <autoFilter ref="A1:G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16"/>
    <col collapsed="false" customWidth="true" hidden="false" outlineLevel="0" max="4" min="4" style="0" width="11"/>
    <col collapsed="false" customWidth="true" hidden="false" outlineLevel="0" max="5" min="5" style="0" width="75"/>
  </cols>
  <sheetData>
    <row r="1" customFormat="false" ht="30" hidden="false" customHeight="true" outlineLevel="0" collapsed="false">
      <c r="A1" s="4" t="s">
        <v>982</v>
      </c>
      <c r="B1" s="4" t="s">
        <v>983</v>
      </c>
      <c r="C1" s="4" t="s">
        <v>42</v>
      </c>
      <c r="D1" s="4" t="s">
        <v>346</v>
      </c>
      <c r="E1" s="4" t="s">
        <v>50</v>
      </c>
    </row>
    <row r="2" customFormat="false" ht="15" hidden="false" customHeight="false" outlineLevel="0" collapsed="false">
      <c r="A2" s="5" t="s">
        <v>984</v>
      </c>
      <c r="B2" s="5" t="s">
        <v>985</v>
      </c>
      <c r="C2" s="5" t="s">
        <v>71</v>
      </c>
      <c r="D2" s="5" t="s">
        <v>808</v>
      </c>
      <c r="E2" s="5" t="s">
        <v>986</v>
      </c>
    </row>
    <row r="3" customFormat="false" ht="15" hidden="false" customHeight="false" outlineLevel="0" collapsed="false">
      <c r="A3" s="5" t="s">
        <v>984</v>
      </c>
      <c r="B3" s="5" t="s">
        <v>346</v>
      </c>
      <c r="C3" s="5" t="s">
        <v>71</v>
      </c>
      <c r="D3" s="5" t="s">
        <v>808</v>
      </c>
      <c r="E3" s="5" t="s">
        <v>987</v>
      </c>
    </row>
    <row r="4" customFormat="false" ht="15" hidden="false" customHeight="false" outlineLevel="0" collapsed="false">
      <c r="A4" s="5" t="s">
        <v>984</v>
      </c>
      <c r="B4" s="5" t="s">
        <v>319</v>
      </c>
      <c r="C4" s="5" t="s">
        <v>988</v>
      </c>
      <c r="D4" s="5" t="s">
        <v>808</v>
      </c>
      <c r="E4" s="5" t="s">
        <v>989</v>
      </c>
    </row>
    <row r="5" customFormat="false" ht="15" hidden="false" customHeight="false" outlineLevel="0" collapsed="false">
      <c r="A5" s="5" t="s">
        <v>984</v>
      </c>
      <c r="B5" s="5" t="s">
        <v>322</v>
      </c>
      <c r="C5" s="5" t="s">
        <v>988</v>
      </c>
      <c r="D5" s="5" t="s">
        <v>808</v>
      </c>
      <c r="E5" s="5" t="s">
        <v>989</v>
      </c>
    </row>
    <row r="6" customFormat="false" ht="15" hidden="false" customHeight="false" outlineLevel="0" collapsed="false">
      <c r="A6" s="5" t="s">
        <v>984</v>
      </c>
      <c r="B6" s="5" t="s">
        <v>990</v>
      </c>
      <c r="C6" s="5" t="s">
        <v>142</v>
      </c>
      <c r="D6" s="5" t="s">
        <v>808</v>
      </c>
      <c r="E6" s="5"/>
    </row>
    <row r="7" customFormat="false" ht="15" hidden="false" customHeight="false" outlineLevel="0" collapsed="false">
      <c r="A7" s="5" t="s">
        <v>984</v>
      </c>
      <c r="B7" s="5" t="s">
        <v>991</v>
      </c>
      <c r="C7" s="5" t="s">
        <v>992</v>
      </c>
      <c r="D7" s="5" t="s">
        <v>808</v>
      </c>
      <c r="E7" s="5" t="s">
        <v>993</v>
      </c>
    </row>
    <row r="8" customFormat="false" ht="15" hidden="false" customHeight="false" outlineLevel="0" collapsed="false">
      <c r="A8" s="5" t="s">
        <v>984</v>
      </c>
      <c r="B8" s="5" t="s">
        <v>994</v>
      </c>
      <c r="C8" s="5" t="s">
        <v>142</v>
      </c>
      <c r="D8" s="5" t="s">
        <v>808</v>
      </c>
      <c r="E8" s="5"/>
    </row>
    <row r="9" customFormat="false" ht="15" hidden="false" customHeight="false" outlineLevel="0" collapsed="false">
      <c r="A9" s="5" t="s">
        <v>984</v>
      </c>
      <c r="B9" s="5" t="s">
        <v>995</v>
      </c>
      <c r="C9" s="5" t="s">
        <v>992</v>
      </c>
      <c r="D9" s="5" t="s">
        <v>808</v>
      </c>
      <c r="E9" s="5"/>
    </row>
    <row r="10" customFormat="false" ht="15" hidden="false" customHeight="false" outlineLevel="0" collapsed="false">
      <c r="A10" s="5" t="s">
        <v>984</v>
      </c>
      <c r="B10" s="5" t="s">
        <v>996</v>
      </c>
      <c r="C10" s="5" t="s">
        <v>997</v>
      </c>
      <c r="D10" s="5" t="s">
        <v>808</v>
      </c>
      <c r="E10" s="5" t="s">
        <v>998</v>
      </c>
    </row>
    <row r="11" customFormat="false" ht="15" hidden="false" customHeight="false" outlineLevel="0" collapsed="false">
      <c r="A11" s="5" t="s">
        <v>984</v>
      </c>
      <c r="B11" s="5" t="s">
        <v>999</v>
      </c>
      <c r="C11" s="5" t="s">
        <v>997</v>
      </c>
      <c r="D11" s="5" t="s">
        <v>808</v>
      </c>
      <c r="E11" s="5"/>
    </row>
    <row r="12" customFormat="false" ht="15" hidden="false" customHeight="false" outlineLevel="0" collapsed="false">
      <c r="A12" s="5" t="s">
        <v>984</v>
      </c>
      <c r="B12" s="5" t="s">
        <v>1000</v>
      </c>
      <c r="C12" s="5" t="s">
        <v>992</v>
      </c>
      <c r="D12" s="5" t="s">
        <v>808</v>
      </c>
      <c r="E12" s="5"/>
    </row>
    <row r="13" customFormat="false" ht="15" hidden="false" customHeight="false" outlineLevel="0" collapsed="false">
      <c r="A13" s="5" t="s">
        <v>984</v>
      </c>
      <c r="B13" s="5" t="s">
        <v>1001</v>
      </c>
      <c r="C13" s="5" t="s">
        <v>142</v>
      </c>
      <c r="D13" s="5" t="s">
        <v>808</v>
      </c>
      <c r="E13" s="5"/>
    </row>
    <row r="14" customFormat="false" ht="15" hidden="false" customHeight="false" outlineLevel="0" collapsed="false">
      <c r="A14" s="5" t="s">
        <v>984</v>
      </c>
      <c r="B14" s="5" t="s">
        <v>1002</v>
      </c>
      <c r="C14" s="5" t="s">
        <v>992</v>
      </c>
      <c r="D14" s="5" t="s">
        <v>808</v>
      </c>
      <c r="E14" s="5"/>
    </row>
    <row r="15" customFormat="false" ht="15" hidden="false" customHeight="false" outlineLevel="0" collapsed="false">
      <c r="A15" s="5" t="s">
        <v>984</v>
      </c>
      <c r="B15" s="5" t="s">
        <v>327</v>
      </c>
      <c r="C15" s="5" t="s">
        <v>71</v>
      </c>
      <c r="D15" s="5" t="s">
        <v>808</v>
      </c>
      <c r="E15" s="5" t="s">
        <v>895</v>
      </c>
    </row>
    <row r="16" customFormat="false" ht="15" hidden="false" customHeight="false" outlineLevel="0" collapsed="false">
      <c r="A16" s="5" t="s">
        <v>984</v>
      </c>
      <c r="B16" s="5" t="s">
        <v>332</v>
      </c>
      <c r="C16" s="5" t="s">
        <v>997</v>
      </c>
      <c r="D16" s="5" t="s">
        <v>808</v>
      </c>
      <c r="E16" s="5"/>
    </row>
    <row r="17" customFormat="false" ht="15" hidden="false" customHeight="false" outlineLevel="0" collapsed="false">
      <c r="A17" s="5" t="s">
        <v>984</v>
      </c>
      <c r="B17" s="5" t="s">
        <v>336</v>
      </c>
      <c r="C17" s="5" t="s">
        <v>988</v>
      </c>
      <c r="D17" s="5" t="s">
        <v>808</v>
      </c>
      <c r="E17" s="5"/>
    </row>
    <row r="18" customFormat="false" ht="15" hidden="false" customHeight="false" outlineLevel="0" collapsed="false">
      <c r="A18" s="5" t="s">
        <v>984</v>
      </c>
      <c r="B18" s="5" t="s">
        <v>54</v>
      </c>
      <c r="C18" s="5" t="s">
        <v>55</v>
      </c>
      <c r="D18" s="5" t="s">
        <v>808</v>
      </c>
      <c r="E18" s="5" t="s">
        <v>1003</v>
      </c>
    </row>
    <row r="19" customFormat="false" ht="15" hidden="false" customHeight="false" outlineLevel="0" collapsed="false">
      <c r="A19" s="5" t="s">
        <v>984</v>
      </c>
      <c r="B19" s="5" t="s">
        <v>63</v>
      </c>
      <c r="C19" s="5" t="s">
        <v>55</v>
      </c>
      <c r="D19" s="5" t="s">
        <v>808</v>
      </c>
      <c r="E19" s="5" t="s">
        <v>1003</v>
      </c>
    </row>
    <row r="20" customFormat="false" ht="15" hidden="false" customHeight="false" outlineLevel="0" collapsed="false">
      <c r="A20" s="5" t="s">
        <v>984</v>
      </c>
      <c r="B20" s="5" t="s">
        <v>70</v>
      </c>
      <c r="C20" s="5" t="s">
        <v>71</v>
      </c>
      <c r="D20" s="5" t="s">
        <v>836</v>
      </c>
      <c r="E20" s="5" t="s">
        <v>1003</v>
      </c>
    </row>
    <row r="21" customFormat="false" ht="15" hidden="false" customHeight="false" outlineLevel="0" collapsed="false">
      <c r="A21" s="5" t="s">
        <v>984</v>
      </c>
      <c r="B21" s="5" t="s">
        <v>78</v>
      </c>
      <c r="C21" s="5" t="s">
        <v>71</v>
      </c>
      <c r="D21" s="5" t="s">
        <v>836</v>
      </c>
      <c r="E21" s="5" t="s">
        <v>1003</v>
      </c>
    </row>
    <row r="22" customFormat="false" ht="15" hidden="false" customHeight="false" outlineLevel="0" collapsed="false">
      <c r="A22" s="5" t="s">
        <v>984</v>
      </c>
      <c r="B22" s="5" t="s">
        <v>83</v>
      </c>
      <c r="C22" s="5" t="s">
        <v>84</v>
      </c>
      <c r="D22" s="5" t="s">
        <v>808</v>
      </c>
      <c r="E22" s="5" t="s">
        <v>1003</v>
      </c>
    </row>
    <row r="23" customFormat="false" ht="15" hidden="false" customHeight="false" outlineLevel="0" collapsed="false">
      <c r="A23" s="5" t="s">
        <v>984</v>
      </c>
      <c r="B23" s="5" t="s">
        <v>90</v>
      </c>
      <c r="C23" s="5" t="s">
        <v>55</v>
      </c>
      <c r="D23" s="5" t="s">
        <v>836</v>
      </c>
      <c r="E23" s="5" t="s">
        <v>1003</v>
      </c>
    </row>
    <row r="24" customFormat="false" ht="15" hidden="false" customHeight="false" outlineLevel="0" collapsed="false">
      <c r="A24" s="5" t="s">
        <v>984</v>
      </c>
      <c r="B24" s="5" t="s">
        <v>97</v>
      </c>
      <c r="C24" s="5" t="s">
        <v>98</v>
      </c>
      <c r="D24" s="5" t="s">
        <v>808</v>
      </c>
      <c r="E24" s="5" t="s">
        <v>1003</v>
      </c>
    </row>
    <row r="25" customFormat="false" ht="15" hidden="false" customHeight="false" outlineLevel="0" collapsed="false">
      <c r="A25" s="5" t="s">
        <v>984</v>
      </c>
      <c r="B25" s="5" t="s">
        <v>107</v>
      </c>
      <c r="C25" s="5" t="s">
        <v>55</v>
      </c>
      <c r="D25" s="5" t="s">
        <v>808</v>
      </c>
      <c r="E25" s="5" t="s">
        <v>1003</v>
      </c>
    </row>
    <row r="26" customFormat="false" ht="15" hidden="false" customHeight="false" outlineLevel="0" collapsed="false">
      <c r="A26" s="5" t="s">
        <v>984</v>
      </c>
      <c r="B26" s="5" t="s">
        <v>111</v>
      </c>
      <c r="C26" s="5" t="s">
        <v>55</v>
      </c>
      <c r="D26" s="5" t="s">
        <v>808</v>
      </c>
      <c r="E26" s="5" t="s">
        <v>1003</v>
      </c>
    </row>
    <row r="27" customFormat="false" ht="15" hidden="false" customHeight="false" outlineLevel="0" collapsed="false">
      <c r="A27" s="5" t="s">
        <v>984</v>
      </c>
      <c r="B27" s="5" t="s">
        <v>116</v>
      </c>
      <c r="C27" s="5" t="s">
        <v>84</v>
      </c>
      <c r="D27" s="5" t="s">
        <v>808</v>
      </c>
      <c r="E27" s="5" t="s">
        <v>1003</v>
      </c>
    </row>
    <row r="28" customFormat="false" ht="15" hidden="false" customHeight="false" outlineLevel="0" collapsed="false">
      <c r="A28" s="5" t="s">
        <v>984</v>
      </c>
      <c r="B28" s="5" t="s">
        <v>120</v>
      </c>
      <c r="C28" s="5" t="s">
        <v>71</v>
      </c>
      <c r="D28" s="5" t="s">
        <v>808</v>
      </c>
      <c r="E28" s="5" t="s">
        <v>1003</v>
      </c>
    </row>
    <row r="29" customFormat="false" ht="15" hidden="false" customHeight="false" outlineLevel="0" collapsed="false">
      <c r="A29" s="5" t="s">
        <v>984</v>
      </c>
      <c r="B29" s="5" t="s">
        <v>123</v>
      </c>
      <c r="C29" s="5" t="s">
        <v>71</v>
      </c>
      <c r="D29" s="5" t="s">
        <v>808</v>
      </c>
      <c r="E29" s="5" t="s">
        <v>1003</v>
      </c>
    </row>
    <row r="30" customFormat="false" ht="15" hidden="false" customHeight="false" outlineLevel="0" collapsed="false">
      <c r="A30" s="5" t="s">
        <v>984</v>
      </c>
      <c r="B30" s="5" t="s">
        <v>127</v>
      </c>
      <c r="C30" s="5" t="s">
        <v>71</v>
      </c>
      <c r="D30" s="5" t="s">
        <v>808</v>
      </c>
      <c r="E30" s="5" t="s">
        <v>1003</v>
      </c>
    </row>
    <row r="31" customFormat="false" ht="15" hidden="false" customHeight="false" outlineLevel="0" collapsed="false">
      <c r="A31" s="5" t="s">
        <v>984</v>
      </c>
      <c r="B31" s="5" t="s">
        <v>130</v>
      </c>
      <c r="C31" s="5" t="s">
        <v>131</v>
      </c>
      <c r="D31" s="5" t="s">
        <v>808</v>
      </c>
      <c r="E31" s="5" t="s">
        <v>1003</v>
      </c>
    </row>
    <row r="32" customFormat="false" ht="15" hidden="false" customHeight="false" outlineLevel="0" collapsed="false">
      <c r="A32" s="5" t="s">
        <v>984</v>
      </c>
      <c r="B32" s="5" t="s">
        <v>136</v>
      </c>
      <c r="C32" s="5" t="s">
        <v>137</v>
      </c>
      <c r="D32" s="5" t="s">
        <v>808</v>
      </c>
      <c r="E32" s="5" t="s">
        <v>1003</v>
      </c>
    </row>
    <row r="33" customFormat="false" ht="15" hidden="false" customHeight="false" outlineLevel="0" collapsed="false">
      <c r="A33" s="5" t="s">
        <v>984</v>
      </c>
      <c r="B33" s="5" t="s">
        <v>141</v>
      </c>
      <c r="C33" s="5" t="s">
        <v>142</v>
      </c>
      <c r="D33" s="5" t="s">
        <v>808</v>
      </c>
      <c r="E33" s="5" t="s">
        <v>1003</v>
      </c>
    </row>
    <row r="34" customFormat="false" ht="15" hidden="false" customHeight="false" outlineLevel="0" collapsed="false">
      <c r="A34" s="5" t="s">
        <v>984</v>
      </c>
      <c r="B34" s="5" t="s">
        <v>146</v>
      </c>
      <c r="C34" s="5" t="s">
        <v>147</v>
      </c>
      <c r="D34" s="5" t="s">
        <v>808</v>
      </c>
      <c r="E34" s="5" t="s">
        <v>1003</v>
      </c>
    </row>
    <row r="35" customFormat="false" ht="15" hidden="false" customHeight="false" outlineLevel="0" collapsed="false">
      <c r="A35" s="5" t="s">
        <v>984</v>
      </c>
      <c r="B35" s="5" t="s">
        <v>151</v>
      </c>
      <c r="C35" s="5" t="s">
        <v>147</v>
      </c>
      <c r="D35" s="5" t="s">
        <v>808</v>
      </c>
      <c r="E35" s="5" t="s">
        <v>1003</v>
      </c>
    </row>
    <row r="36" customFormat="false" ht="15" hidden="false" customHeight="false" outlineLevel="0" collapsed="false">
      <c r="A36" s="5" t="s">
        <v>984</v>
      </c>
      <c r="B36" s="5" t="s">
        <v>155</v>
      </c>
      <c r="C36" s="5" t="s">
        <v>71</v>
      </c>
      <c r="D36" s="5" t="s">
        <v>808</v>
      </c>
      <c r="E36" s="5" t="s">
        <v>1003</v>
      </c>
    </row>
    <row r="37" customFormat="false" ht="15" hidden="false" customHeight="false" outlineLevel="0" collapsed="false">
      <c r="A37" s="5" t="s">
        <v>984</v>
      </c>
      <c r="B37" s="5" t="s">
        <v>157</v>
      </c>
      <c r="C37" s="5" t="s">
        <v>71</v>
      </c>
      <c r="D37" s="5" t="s">
        <v>808</v>
      </c>
      <c r="E37" s="5" t="s">
        <v>1003</v>
      </c>
    </row>
    <row r="38" customFormat="false" ht="15" hidden="false" customHeight="false" outlineLevel="0" collapsed="false">
      <c r="A38" s="5" t="s">
        <v>984</v>
      </c>
      <c r="B38" s="5" t="s">
        <v>158</v>
      </c>
      <c r="C38" s="5" t="s">
        <v>71</v>
      </c>
      <c r="D38" s="5" t="s">
        <v>808</v>
      </c>
      <c r="E38" s="5" t="s">
        <v>1003</v>
      </c>
    </row>
    <row r="39" customFormat="false" ht="15" hidden="false" customHeight="false" outlineLevel="0" collapsed="false">
      <c r="A39" s="5" t="s">
        <v>984</v>
      </c>
      <c r="B39" s="5" t="s">
        <v>159</v>
      </c>
      <c r="C39" s="5" t="s">
        <v>71</v>
      </c>
      <c r="D39" s="5" t="s">
        <v>808</v>
      </c>
      <c r="E39" s="5" t="s">
        <v>1003</v>
      </c>
    </row>
    <row r="40" customFormat="false" ht="15" hidden="false" customHeight="false" outlineLevel="0" collapsed="false">
      <c r="A40" s="5" t="s">
        <v>984</v>
      </c>
      <c r="B40" s="5" t="s">
        <v>160</v>
      </c>
      <c r="C40" s="5" t="s">
        <v>131</v>
      </c>
      <c r="D40" s="5" t="s">
        <v>808</v>
      </c>
      <c r="E40" s="5" t="s">
        <v>1003</v>
      </c>
    </row>
    <row r="41" customFormat="false" ht="15" hidden="false" customHeight="false" outlineLevel="0" collapsed="false">
      <c r="A41" s="5" t="s">
        <v>984</v>
      </c>
      <c r="B41" s="5" t="s">
        <v>161</v>
      </c>
      <c r="C41" s="5" t="s">
        <v>137</v>
      </c>
      <c r="D41" s="5" t="s">
        <v>808</v>
      </c>
      <c r="E41" s="5" t="s">
        <v>1003</v>
      </c>
    </row>
    <row r="42" customFormat="false" ht="15" hidden="false" customHeight="false" outlineLevel="0" collapsed="false">
      <c r="A42" s="5" t="s">
        <v>984</v>
      </c>
      <c r="B42" s="5" t="s">
        <v>162</v>
      </c>
      <c r="C42" s="5" t="s">
        <v>142</v>
      </c>
      <c r="D42" s="5" t="s">
        <v>808</v>
      </c>
      <c r="E42" s="5" t="s">
        <v>1003</v>
      </c>
    </row>
    <row r="43" customFormat="false" ht="15" hidden="false" customHeight="false" outlineLevel="0" collapsed="false">
      <c r="A43" s="5" t="s">
        <v>984</v>
      </c>
      <c r="B43" s="5" t="s">
        <v>163</v>
      </c>
      <c r="C43" s="5" t="s">
        <v>147</v>
      </c>
      <c r="D43" s="5" t="s">
        <v>808</v>
      </c>
      <c r="E43" s="5" t="s">
        <v>1003</v>
      </c>
    </row>
    <row r="44" customFormat="false" ht="15" hidden="false" customHeight="false" outlineLevel="0" collapsed="false">
      <c r="A44" s="5" t="s">
        <v>984</v>
      </c>
      <c r="B44" s="5" t="s">
        <v>165</v>
      </c>
      <c r="C44" s="5" t="s">
        <v>71</v>
      </c>
      <c r="D44" s="5" t="s">
        <v>808</v>
      </c>
      <c r="E44" s="5" t="s">
        <v>1003</v>
      </c>
    </row>
    <row r="45" customFormat="false" ht="15" hidden="false" customHeight="false" outlineLevel="0" collapsed="false">
      <c r="A45" s="5" t="s">
        <v>984</v>
      </c>
      <c r="B45" s="5" t="s">
        <v>166</v>
      </c>
      <c r="C45" s="5" t="s">
        <v>71</v>
      </c>
      <c r="D45" s="5" t="s">
        <v>808</v>
      </c>
      <c r="E45" s="5" t="s">
        <v>1003</v>
      </c>
    </row>
    <row r="46" customFormat="false" ht="15" hidden="false" customHeight="false" outlineLevel="0" collapsed="false">
      <c r="A46" s="5" t="s">
        <v>984</v>
      </c>
      <c r="B46" s="5" t="s">
        <v>167</v>
      </c>
      <c r="C46" s="5" t="s">
        <v>71</v>
      </c>
      <c r="D46" s="5" t="s">
        <v>808</v>
      </c>
      <c r="E46" s="5" t="s">
        <v>1003</v>
      </c>
    </row>
    <row r="47" customFormat="false" ht="15" hidden="false" customHeight="false" outlineLevel="0" collapsed="false">
      <c r="A47" s="5" t="s">
        <v>984</v>
      </c>
      <c r="B47" s="5" t="s">
        <v>168</v>
      </c>
      <c r="C47" s="5" t="s">
        <v>71</v>
      </c>
      <c r="D47" s="5" t="s">
        <v>808</v>
      </c>
      <c r="E47" s="5" t="s">
        <v>1003</v>
      </c>
    </row>
    <row r="48" customFormat="false" ht="15" hidden="false" customHeight="false" outlineLevel="0" collapsed="false">
      <c r="A48" s="5" t="s">
        <v>984</v>
      </c>
      <c r="B48" s="5" t="s">
        <v>169</v>
      </c>
      <c r="C48" s="5" t="s">
        <v>131</v>
      </c>
      <c r="D48" s="5" t="s">
        <v>808</v>
      </c>
      <c r="E48" s="5" t="s">
        <v>1003</v>
      </c>
    </row>
    <row r="49" customFormat="false" ht="15" hidden="false" customHeight="false" outlineLevel="0" collapsed="false">
      <c r="A49" s="5" t="s">
        <v>984</v>
      </c>
      <c r="B49" s="5" t="s">
        <v>170</v>
      </c>
      <c r="C49" s="5" t="s">
        <v>137</v>
      </c>
      <c r="D49" s="5" t="s">
        <v>808</v>
      </c>
      <c r="E49" s="5" t="s">
        <v>1003</v>
      </c>
    </row>
    <row r="50" customFormat="false" ht="15" hidden="false" customHeight="false" outlineLevel="0" collapsed="false">
      <c r="A50" s="5" t="s">
        <v>984</v>
      </c>
      <c r="B50" s="5" t="s">
        <v>171</v>
      </c>
      <c r="C50" s="5" t="s">
        <v>142</v>
      </c>
      <c r="D50" s="5" t="s">
        <v>808</v>
      </c>
      <c r="E50" s="5" t="s">
        <v>1003</v>
      </c>
    </row>
    <row r="51" customFormat="false" ht="15" hidden="false" customHeight="false" outlineLevel="0" collapsed="false">
      <c r="A51" s="5" t="s">
        <v>984</v>
      </c>
      <c r="B51" s="5" t="s">
        <v>172</v>
      </c>
      <c r="C51" s="5" t="s">
        <v>147</v>
      </c>
      <c r="D51" s="5" t="s">
        <v>808</v>
      </c>
      <c r="E51" s="5" t="s">
        <v>1003</v>
      </c>
    </row>
    <row r="52" customFormat="false" ht="15" hidden="false" customHeight="false" outlineLevel="0" collapsed="false">
      <c r="A52" s="5" t="s">
        <v>984</v>
      </c>
      <c r="B52" s="5" t="s">
        <v>174</v>
      </c>
      <c r="C52" s="5" t="s">
        <v>84</v>
      </c>
      <c r="D52" s="5" t="s">
        <v>836</v>
      </c>
      <c r="E52" s="5" t="s">
        <v>1003</v>
      </c>
    </row>
    <row r="53" customFormat="false" ht="15" hidden="false" customHeight="false" outlineLevel="0" collapsed="false">
      <c r="A53" s="5" t="s">
        <v>984</v>
      </c>
      <c r="B53" s="5" t="s">
        <v>179</v>
      </c>
      <c r="C53" s="5" t="s">
        <v>55</v>
      </c>
      <c r="D53" s="5" t="s">
        <v>808</v>
      </c>
      <c r="E53" s="5" t="s">
        <v>1003</v>
      </c>
    </row>
    <row r="54" customFormat="false" ht="15" hidden="false" customHeight="false" outlineLevel="0" collapsed="false">
      <c r="A54" s="5" t="s">
        <v>984</v>
      </c>
      <c r="B54" s="5" t="s">
        <v>184</v>
      </c>
      <c r="C54" s="5" t="s">
        <v>71</v>
      </c>
      <c r="D54" s="5" t="s">
        <v>836</v>
      </c>
      <c r="E54" s="5" t="s">
        <v>1003</v>
      </c>
    </row>
    <row r="55" customFormat="false" ht="15" hidden="false" customHeight="false" outlineLevel="0" collapsed="false">
      <c r="A55" s="5" t="s">
        <v>984</v>
      </c>
      <c r="B55" s="5" t="s">
        <v>187</v>
      </c>
      <c r="C55" s="5" t="s">
        <v>71</v>
      </c>
      <c r="D55" s="5" t="s">
        <v>836</v>
      </c>
      <c r="E55" s="5" t="s">
        <v>1003</v>
      </c>
    </row>
    <row r="56" customFormat="false" ht="15" hidden="false" customHeight="false" outlineLevel="0" collapsed="false">
      <c r="A56" s="5" t="s">
        <v>984</v>
      </c>
      <c r="B56" s="5" t="s">
        <v>190</v>
      </c>
      <c r="C56" s="5" t="s">
        <v>71</v>
      </c>
      <c r="D56" s="5" t="s">
        <v>836</v>
      </c>
      <c r="E56" s="5" t="s">
        <v>1003</v>
      </c>
    </row>
    <row r="57" customFormat="false" ht="15" hidden="false" customHeight="false" outlineLevel="0" collapsed="false">
      <c r="A57" s="5" t="s">
        <v>984</v>
      </c>
      <c r="B57" s="5" t="s">
        <v>192</v>
      </c>
      <c r="C57" s="5" t="s">
        <v>71</v>
      </c>
      <c r="D57" s="5" t="s">
        <v>836</v>
      </c>
      <c r="E57" s="5" t="s">
        <v>1003</v>
      </c>
    </row>
    <row r="58" customFormat="false" ht="15" hidden="false" customHeight="false" outlineLevel="0" collapsed="false">
      <c r="A58" s="5" t="s">
        <v>984</v>
      </c>
      <c r="B58" s="5" t="s">
        <v>194</v>
      </c>
      <c r="C58" s="5" t="s">
        <v>131</v>
      </c>
      <c r="D58" s="5" t="s">
        <v>836</v>
      </c>
      <c r="E58" s="5" t="s">
        <v>1003</v>
      </c>
    </row>
    <row r="59" customFormat="false" ht="15" hidden="false" customHeight="false" outlineLevel="0" collapsed="false">
      <c r="A59" s="5" t="s">
        <v>984</v>
      </c>
      <c r="B59" s="5" t="s">
        <v>196</v>
      </c>
      <c r="C59" s="5" t="s">
        <v>137</v>
      </c>
      <c r="D59" s="5" t="s">
        <v>836</v>
      </c>
      <c r="E59" s="5" t="s">
        <v>1003</v>
      </c>
    </row>
    <row r="60" customFormat="false" ht="15" hidden="false" customHeight="false" outlineLevel="0" collapsed="false">
      <c r="A60" s="5" t="s">
        <v>984</v>
      </c>
      <c r="B60" s="5" t="s">
        <v>198</v>
      </c>
      <c r="C60" s="5" t="s">
        <v>142</v>
      </c>
      <c r="D60" s="5" t="s">
        <v>836</v>
      </c>
      <c r="E60" s="5" t="s">
        <v>1003</v>
      </c>
    </row>
    <row r="61" customFormat="false" ht="15" hidden="false" customHeight="false" outlineLevel="0" collapsed="false">
      <c r="A61" s="5" t="s">
        <v>984</v>
      </c>
      <c r="B61" s="5" t="s">
        <v>200</v>
      </c>
      <c r="C61" s="5" t="s">
        <v>147</v>
      </c>
      <c r="D61" s="5" t="s">
        <v>836</v>
      </c>
      <c r="E61" s="5" t="s">
        <v>1003</v>
      </c>
    </row>
    <row r="62" customFormat="false" ht="15" hidden="false" customHeight="false" outlineLevel="0" collapsed="false">
      <c r="A62" s="5" t="s">
        <v>984</v>
      </c>
      <c r="B62" s="5" t="s">
        <v>202</v>
      </c>
      <c r="C62" s="5" t="s">
        <v>147</v>
      </c>
      <c r="D62" s="5" t="s">
        <v>836</v>
      </c>
      <c r="E62" s="5" t="s">
        <v>1003</v>
      </c>
    </row>
    <row r="63" customFormat="false" ht="15" hidden="false" customHeight="false" outlineLevel="0" collapsed="false">
      <c r="A63" s="5" t="s">
        <v>984</v>
      </c>
      <c r="B63" s="5" t="s">
        <v>204</v>
      </c>
      <c r="C63" s="5" t="s">
        <v>71</v>
      </c>
      <c r="D63" s="5" t="s">
        <v>808</v>
      </c>
      <c r="E63" s="5" t="s">
        <v>1003</v>
      </c>
    </row>
    <row r="64" customFormat="false" ht="15" hidden="false" customHeight="false" outlineLevel="0" collapsed="false">
      <c r="A64" s="5" t="s">
        <v>984</v>
      </c>
      <c r="B64" s="5" t="s">
        <v>205</v>
      </c>
      <c r="C64" s="5" t="s">
        <v>71</v>
      </c>
      <c r="D64" s="5" t="s">
        <v>808</v>
      </c>
      <c r="E64" s="5" t="s">
        <v>1003</v>
      </c>
    </row>
    <row r="65" customFormat="false" ht="15" hidden="false" customHeight="false" outlineLevel="0" collapsed="false">
      <c r="A65" s="5" t="s">
        <v>984</v>
      </c>
      <c r="B65" s="5" t="s">
        <v>206</v>
      </c>
      <c r="C65" s="5" t="s">
        <v>71</v>
      </c>
      <c r="D65" s="5" t="s">
        <v>808</v>
      </c>
      <c r="E65" s="5" t="s">
        <v>1003</v>
      </c>
    </row>
    <row r="66" customFormat="false" ht="15" hidden="false" customHeight="false" outlineLevel="0" collapsed="false">
      <c r="A66" s="5" t="s">
        <v>984</v>
      </c>
      <c r="B66" s="5" t="s">
        <v>207</v>
      </c>
      <c r="C66" s="5" t="s">
        <v>71</v>
      </c>
      <c r="D66" s="5" t="s">
        <v>808</v>
      </c>
      <c r="E66" s="5" t="s">
        <v>1003</v>
      </c>
    </row>
    <row r="67" customFormat="false" ht="15" hidden="false" customHeight="false" outlineLevel="0" collapsed="false">
      <c r="A67" s="5" t="s">
        <v>984</v>
      </c>
      <c r="B67" s="5" t="s">
        <v>208</v>
      </c>
      <c r="C67" s="5" t="s">
        <v>131</v>
      </c>
      <c r="D67" s="5" t="s">
        <v>808</v>
      </c>
      <c r="E67" s="5" t="s">
        <v>1003</v>
      </c>
    </row>
    <row r="68" customFormat="false" ht="15" hidden="false" customHeight="false" outlineLevel="0" collapsed="false">
      <c r="A68" s="5" t="s">
        <v>984</v>
      </c>
      <c r="B68" s="5" t="s">
        <v>209</v>
      </c>
      <c r="C68" s="5" t="s">
        <v>137</v>
      </c>
      <c r="D68" s="5" t="s">
        <v>808</v>
      </c>
      <c r="E68" s="5" t="s">
        <v>1003</v>
      </c>
    </row>
    <row r="69" customFormat="false" ht="15" hidden="false" customHeight="false" outlineLevel="0" collapsed="false">
      <c r="A69" s="5" t="s">
        <v>984</v>
      </c>
      <c r="B69" s="5" t="s">
        <v>210</v>
      </c>
      <c r="C69" s="5" t="s">
        <v>142</v>
      </c>
      <c r="D69" s="5" t="s">
        <v>808</v>
      </c>
      <c r="E69" s="5" t="s">
        <v>1003</v>
      </c>
    </row>
    <row r="70" customFormat="false" ht="15" hidden="false" customHeight="false" outlineLevel="0" collapsed="false">
      <c r="A70" s="5" t="s">
        <v>984</v>
      </c>
      <c r="B70" s="5" t="s">
        <v>211</v>
      </c>
      <c r="C70" s="5" t="s">
        <v>147</v>
      </c>
      <c r="D70" s="5" t="s">
        <v>808</v>
      </c>
      <c r="E70" s="5" t="s">
        <v>1003</v>
      </c>
    </row>
    <row r="71" customFormat="false" ht="15" hidden="false" customHeight="false" outlineLevel="0" collapsed="false">
      <c r="A71" s="5" t="s">
        <v>984</v>
      </c>
      <c r="B71" s="5" t="s">
        <v>212</v>
      </c>
      <c r="C71" s="5" t="s">
        <v>71</v>
      </c>
      <c r="D71" s="5" t="s">
        <v>808</v>
      </c>
      <c r="E71" s="5" t="s">
        <v>1003</v>
      </c>
    </row>
    <row r="72" customFormat="false" ht="15" hidden="false" customHeight="false" outlineLevel="0" collapsed="false">
      <c r="A72" s="5" t="s">
        <v>984</v>
      </c>
      <c r="B72" s="5" t="s">
        <v>213</v>
      </c>
      <c r="C72" s="5" t="s">
        <v>71</v>
      </c>
      <c r="D72" s="5" t="s">
        <v>808</v>
      </c>
      <c r="E72" s="5" t="s">
        <v>1003</v>
      </c>
    </row>
    <row r="73" customFormat="false" ht="15" hidden="false" customHeight="false" outlineLevel="0" collapsed="false">
      <c r="A73" s="5" t="s">
        <v>984</v>
      </c>
      <c r="B73" s="5" t="s">
        <v>214</v>
      </c>
      <c r="C73" s="5" t="s">
        <v>71</v>
      </c>
      <c r="D73" s="5" t="s">
        <v>808</v>
      </c>
      <c r="E73" s="5" t="s">
        <v>1003</v>
      </c>
    </row>
    <row r="74" customFormat="false" ht="15" hidden="false" customHeight="false" outlineLevel="0" collapsed="false">
      <c r="A74" s="5" t="s">
        <v>984</v>
      </c>
      <c r="B74" s="5" t="s">
        <v>215</v>
      </c>
      <c r="C74" s="5" t="s">
        <v>71</v>
      </c>
      <c r="D74" s="5" t="s">
        <v>808</v>
      </c>
      <c r="E74" s="5" t="s">
        <v>1003</v>
      </c>
    </row>
    <row r="75" customFormat="false" ht="15" hidden="false" customHeight="false" outlineLevel="0" collapsed="false">
      <c r="A75" s="5" t="s">
        <v>984</v>
      </c>
      <c r="B75" s="5" t="s">
        <v>216</v>
      </c>
      <c r="C75" s="5" t="s">
        <v>131</v>
      </c>
      <c r="D75" s="5" t="s">
        <v>808</v>
      </c>
      <c r="E75" s="5" t="s">
        <v>1003</v>
      </c>
    </row>
    <row r="76" customFormat="false" ht="15" hidden="false" customHeight="false" outlineLevel="0" collapsed="false">
      <c r="A76" s="5" t="s">
        <v>984</v>
      </c>
      <c r="B76" s="5" t="s">
        <v>217</v>
      </c>
      <c r="C76" s="5" t="s">
        <v>137</v>
      </c>
      <c r="D76" s="5" t="s">
        <v>808</v>
      </c>
      <c r="E76" s="5" t="s">
        <v>1003</v>
      </c>
    </row>
    <row r="77" customFormat="false" ht="15" hidden="false" customHeight="false" outlineLevel="0" collapsed="false">
      <c r="A77" s="5" t="s">
        <v>984</v>
      </c>
      <c r="B77" s="5" t="s">
        <v>218</v>
      </c>
      <c r="C77" s="5" t="s">
        <v>142</v>
      </c>
      <c r="D77" s="5" t="s">
        <v>808</v>
      </c>
      <c r="E77" s="5" t="s">
        <v>1003</v>
      </c>
    </row>
    <row r="78" customFormat="false" ht="15" hidden="false" customHeight="false" outlineLevel="0" collapsed="false">
      <c r="A78" s="5" t="s">
        <v>984</v>
      </c>
      <c r="B78" s="5" t="s">
        <v>219</v>
      </c>
      <c r="C78" s="5" t="s">
        <v>147</v>
      </c>
      <c r="D78" s="5" t="s">
        <v>808</v>
      </c>
      <c r="E78" s="5" t="s">
        <v>1003</v>
      </c>
    </row>
    <row r="79" customFormat="false" ht="15" hidden="false" customHeight="false" outlineLevel="0" collapsed="false">
      <c r="A79" s="5" t="s">
        <v>984</v>
      </c>
      <c r="B79" s="5" t="s">
        <v>296</v>
      </c>
      <c r="C79" s="5" t="s">
        <v>84</v>
      </c>
      <c r="D79" s="5" t="s">
        <v>836</v>
      </c>
      <c r="E79" s="5" t="s">
        <v>1003</v>
      </c>
    </row>
    <row r="80" customFormat="false" ht="15" hidden="false" customHeight="false" outlineLevel="0" collapsed="false">
      <c r="A80" s="5" t="s">
        <v>984</v>
      </c>
      <c r="B80" s="5" t="s">
        <v>303</v>
      </c>
      <c r="C80" s="5" t="s">
        <v>55</v>
      </c>
      <c r="D80" s="5" t="s">
        <v>836</v>
      </c>
      <c r="E80" s="5" t="s">
        <v>1003</v>
      </c>
    </row>
    <row r="81" customFormat="false" ht="15" hidden="false" customHeight="false" outlineLevel="0" collapsed="false">
      <c r="A81" s="5" t="s">
        <v>1004</v>
      </c>
      <c r="B81" s="5" t="s">
        <v>985</v>
      </c>
      <c r="C81" s="5" t="s">
        <v>71</v>
      </c>
      <c r="D81" s="5" t="s">
        <v>808</v>
      </c>
      <c r="E81" s="5" t="s">
        <v>1005</v>
      </c>
    </row>
    <row r="82" customFormat="false" ht="15" hidden="false" customHeight="false" outlineLevel="0" collapsed="false">
      <c r="A82" s="5" t="s">
        <v>1004</v>
      </c>
      <c r="B82" s="5" t="s">
        <v>1006</v>
      </c>
      <c r="C82" s="5" t="s">
        <v>1007</v>
      </c>
      <c r="D82" s="5" t="s">
        <v>808</v>
      </c>
      <c r="E82" s="5" t="s">
        <v>1008</v>
      </c>
    </row>
    <row r="83" customFormat="false" ht="15" hidden="false" customHeight="false" outlineLevel="0" collapsed="false">
      <c r="A83" s="5" t="s">
        <v>1004</v>
      </c>
      <c r="B83" s="5" t="s">
        <v>223</v>
      </c>
      <c r="C83" s="5" t="s">
        <v>224</v>
      </c>
      <c r="D83" s="5" t="s">
        <v>808</v>
      </c>
      <c r="E83" s="5" t="s">
        <v>1003</v>
      </c>
    </row>
    <row r="84" customFormat="false" ht="15" hidden="false" customHeight="false" outlineLevel="0" collapsed="false">
      <c r="A84" s="5" t="s">
        <v>1004</v>
      </c>
      <c r="B84" s="5" t="s">
        <v>229</v>
      </c>
      <c r="C84" s="5" t="s">
        <v>71</v>
      </c>
      <c r="D84" s="5" t="s">
        <v>808</v>
      </c>
      <c r="E84" s="5" t="s">
        <v>1003</v>
      </c>
    </row>
    <row r="85" customFormat="false" ht="15" hidden="false" customHeight="false" outlineLevel="0" collapsed="false">
      <c r="A85" s="5" t="s">
        <v>1004</v>
      </c>
      <c r="B85" s="5" t="s">
        <v>235</v>
      </c>
      <c r="C85" s="5" t="s">
        <v>98</v>
      </c>
      <c r="D85" s="5" t="s">
        <v>808</v>
      </c>
      <c r="E85" s="5" t="s">
        <v>1003</v>
      </c>
    </row>
    <row r="86" customFormat="false" ht="15" hidden="false" customHeight="false" outlineLevel="0" collapsed="false">
      <c r="A86" s="5" t="s">
        <v>1004</v>
      </c>
      <c r="B86" s="5" t="s">
        <v>239</v>
      </c>
      <c r="C86" s="5" t="s">
        <v>240</v>
      </c>
      <c r="D86" s="5" t="s">
        <v>808</v>
      </c>
      <c r="E86" s="5" t="s">
        <v>1003</v>
      </c>
    </row>
    <row r="87" customFormat="false" ht="15" hidden="false" customHeight="false" outlineLevel="0" collapsed="false">
      <c r="A87" s="5" t="s">
        <v>1004</v>
      </c>
      <c r="B87" s="5" t="s">
        <v>248</v>
      </c>
      <c r="C87" s="5" t="s">
        <v>240</v>
      </c>
      <c r="D87" s="5" t="s">
        <v>808</v>
      </c>
      <c r="E87" s="5" t="s">
        <v>1003</v>
      </c>
    </row>
    <row r="88" customFormat="false" ht="15" hidden="false" customHeight="false" outlineLevel="0" collapsed="false">
      <c r="A88" s="5" t="s">
        <v>1004</v>
      </c>
      <c r="B88" s="5" t="s">
        <v>251</v>
      </c>
      <c r="C88" s="5" t="s">
        <v>240</v>
      </c>
      <c r="D88" s="5" t="s">
        <v>808</v>
      </c>
      <c r="E88" s="5" t="s">
        <v>1003</v>
      </c>
    </row>
    <row r="89" customFormat="false" ht="15" hidden="false" customHeight="false" outlineLevel="0" collapsed="false">
      <c r="A89" s="5" t="s">
        <v>1004</v>
      </c>
      <c r="B89" s="5" t="s">
        <v>258</v>
      </c>
      <c r="C89" s="5" t="s">
        <v>259</v>
      </c>
      <c r="D89" s="5" t="s">
        <v>808</v>
      </c>
      <c r="E89" s="5" t="s">
        <v>1003</v>
      </c>
    </row>
    <row r="90" customFormat="false" ht="15" hidden="false" customHeight="false" outlineLevel="0" collapsed="false">
      <c r="A90" s="5" t="s">
        <v>1004</v>
      </c>
      <c r="B90" s="5" t="s">
        <v>265</v>
      </c>
      <c r="C90" s="5" t="s">
        <v>71</v>
      </c>
      <c r="D90" s="5" t="s">
        <v>808</v>
      </c>
      <c r="E90" s="5" t="s">
        <v>1003</v>
      </c>
    </row>
    <row r="91" customFormat="false" ht="15" hidden="false" customHeight="false" outlineLevel="0" collapsed="false">
      <c r="A91" s="5" t="s">
        <v>1004</v>
      </c>
      <c r="B91" s="5" t="s">
        <v>270</v>
      </c>
      <c r="C91" s="5" t="s">
        <v>84</v>
      </c>
      <c r="D91" s="5" t="s">
        <v>808</v>
      </c>
      <c r="E91" s="5" t="s">
        <v>1003</v>
      </c>
    </row>
    <row r="92" customFormat="false" ht="15" hidden="false" customHeight="false" outlineLevel="0" collapsed="false">
      <c r="A92" s="5" t="s">
        <v>1004</v>
      </c>
      <c r="B92" s="5" t="s">
        <v>274</v>
      </c>
      <c r="C92" s="5" t="s">
        <v>84</v>
      </c>
      <c r="D92" s="5" t="s">
        <v>808</v>
      </c>
      <c r="E92" s="5" t="s">
        <v>1003</v>
      </c>
    </row>
    <row r="93" customFormat="false" ht="15" hidden="false" customHeight="false" outlineLevel="0" collapsed="false">
      <c r="A93" s="5" t="s">
        <v>1004</v>
      </c>
      <c r="B93" s="5" t="s">
        <v>280</v>
      </c>
      <c r="C93" s="5" t="s">
        <v>84</v>
      </c>
      <c r="D93" s="5" t="s">
        <v>808</v>
      </c>
      <c r="E93" s="5" t="s">
        <v>1003</v>
      </c>
    </row>
    <row r="94" customFormat="false" ht="15" hidden="false" customHeight="false" outlineLevel="0" collapsed="false">
      <c r="A94" s="5" t="s">
        <v>1004</v>
      </c>
      <c r="B94" s="5" t="s">
        <v>286</v>
      </c>
      <c r="C94" s="5" t="s">
        <v>131</v>
      </c>
      <c r="D94" s="5" t="s">
        <v>808</v>
      </c>
      <c r="E94" s="5" t="s">
        <v>1003</v>
      </c>
    </row>
    <row r="95" customFormat="false" ht="15" hidden="false" customHeight="false" outlineLevel="0" collapsed="false">
      <c r="A95" s="5" t="s">
        <v>1009</v>
      </c>
      <c r="B95" s="5" t="s">
        <v>985</v>
      </c>
      <c r="C95" s="5" t="s">
        <v>71</v>
      </c>
      <c r="D95" s="5" t="s">
        <v>808</v>
      </c>
      <c r="E95" s="5"/>
    </row>
    <row r="96" customFormat="false" ht="15" hidden="false" customHeight="false" outlineLevel="0" collapsed="false">
      <c r="A96" s="5" t="s">
        <v>1009</v>
      </c>
      <c r="B96" s="5" t="s">
        <v>1010</v>
      </c>
      <c r="C96" s="5" t="s">
        <v>71</v>
      </c>
      <c r="D96" s="5" t="s">
        <v>808</v>
      </c>
      <c r="E96" s="5" t="s">
        <v>1011</v>
      </c>
    </row>
    <row r="97" customFormat="false" ht="15" hidden="false" customHeight="false" outlineLevel="0" collapsed="false">
      <c r="A97" s="5" t="s">
        <v>1009</v>
      </c>
      <c r="B97" s="5" t="s">
        <v>1006</v>
      </c>
      <c r="C97" s="5" t="s">
        <v>1007</v>
      </c>
      <c r="D97" s="5" t="s">
        <v>808</v>
      </c>
      <c r="E97" s="5" t="s">
        <v>1012</v>
      </c>
    </row>
    <row r="98" customFormat="false" ht="15" hidden="false" customHeight="false" outlineLevel="0" collapsed="false">
      <c r="A98" s="5" t="s">
        <v>1009</v>
      </c>
      <c r="B98" s="5" t="s">
        <v>597</v>
      </c>
      <c r="C98" s="5" t="s">
        <v>71</v>
      </c>
      <c r="D98" s="5" t="s">
        <v>808</v>
      </c>
      <c r="E98" s="5"/>
    </row>
    <row r="99" customFormat="false" ht="15" hidden="false" customHeight="false" outlineLevel="0" collapsed="false">
      <c r="A99" s="5" t="s">
        <v>1009</v>
      </c>
      <c r="B99" s="5" t="s">
        <v>1013</v>
      </c>
      <c r="C99" s="5" t="s">
        <v>997</v>
      </c>
      <c r="D99" s="5" t="s">
        <v>808</v>
      </c>
      <c r="E99" s="5"/>
    </row>
    <row r="100" customFormat="false" ht="15" hidden="false" customHeight="false" outlineLevel="0" collapsed="false">
      <c r="A100" s="5" t="s">
        <v>1009</v>
      </c>
      <c r="B100" s="5" t="s">
        <v>1014</v>
      </c>
      <c r="C100" s="5" t="s">
        <v>71</v>
      </c>
      <c r="D100" s="5" t="s">
        <v>808</v>
      </c>
      <c r="E100" s="5" t="s">
        <v>1015</v>
      </c>
    </row>
    <row r="101" customFormat="false" ht="15" hidden="false" customHeight="false" outlineLevel="0" collapsed="false">
      <c r="A101" s="5" t="s">
        <v>1009</v>
      </c>
      <c r="B101" s="5" t="s">
        <v>1016</v>
      </c>
      <c r="C101" s="5" t="s">
        <v>142</v>
      </c>
      <c r="D101" s="5" t="s">
        <v>808</v>
      </c>
      <c r="E101" s="5"/>
    </row>
    <row r="102" customFormat="false" ht="15" hidden="false" customHeight="false" outlineLevel="0" collapsed="false">
      <c r="A102" s="5" t="s">
        <v>1009</v>
      </c>
      <c r="B102" s="5" t="s">
        <v>1017</v>
      </c>
      <c r="C102" s="5" t="s">
        <v>992</v>
      </c>
      <c r="D102" s="5" t="s">
        <v>808</v>
      </c>
      <c r="E102" s="5"/>
    </row>
    <row r="103" customFormat="false" ht="15" hidden="false" customHeight="false" outlineLevel="0" collapsed="false">
      <c r="A103" s="5" t="s">
        <v>1009</v>
      </c>
      <c r="B103" s="5" t="s">
        <v>1018</v>
      </c>
      <c r="C103" s="5" t="s">
        <v>71</v>
      </c>
      <c r="D103" s="5" t="s">
        <v>836</v>
      </c>
      <c r="E103" s="5" t="s">
        <v>1019</v>
      </c>
    </row>
    <row r="104" customFormat="false" ht="15" hidden="false" customHeight="false" outlineLevel="0" collapsed="false">
      <c r="A104" s="5" t="s">
        <v>1020</v>
      </c>
      <c r="B104" s="5" t="s">
        <v>340</v>
      </c>
      <c r="C104" s="5" t="s">
        <v>71</v>
      </c>
      <c r="D104" s="5" t="s">
        <v>808</v>
      </c>
      <c r="E104" s="5" t="s">
        <v>1021</v>
      </c>
    </row>
    <row r="105" customFormat="false" ht="15" hidden="false" customHeight="false" outlineLevel="0" collapsed="false">
      <c r="A105" s="5" t="s">
        <v>1020</v>
      </c>
      <c r="B105" s="5" t="s">
        <v>341</v>
      </c>
      <c r="C105" s="5" t="s">
        <v>71</v>
      </c>
      <c r="D105" s="5" t="s">
        <v>808</v>
      </c>
      <c r="E105" s="5" t="s">
        <v>1022</v>
      </c>
    </row>
    <row r="106" customFormat="false" ht="15" hidden="false" customHeight="false" outlineLevel="0" collapsed="false">
      <c r="A106" s="5" t="s">
        <v>1020</v>
      </c>
      <c r="B106" s="5" t="s">
        <v>342</v>
      </c>
      <c r="C106" s="5" t="s">
        <v>71</v>
      </c>
      <c r="D106" s="5" t="s">
        <v>836</v>
      </c>
      <c r="E106" s="5" t="s">
        <v>1023</v>
      </c>
    </row>
    <row r="107" customFormat="false" ht="15" hidden="false" customHeight="false" outlineLevel="0" collapsed="false">
      <c r="A107" s="5" t="s">
        <v>1020</v>
      </c>
      <c r="B107" s="5" t="s">
        <v>1024</v>
      </c>
      <c r="C107" s="5" t="s">
        <v>1025</v>
      </c>
      <c r="D107" s="5" t="s">
        <v>836</v>
      </c>
      <c r="E107" s="5" t="s">
        <v>1026</v>
      </c>
    </row>
    <row r="108" customFormat="false" ht="15" hidden="false" customHeight="false" outlineLevel="0" collapsed="false">
      <c r="A108" s="5" t="s">
        <v>1020</v>
      </c>
      <c r="B108" s="5" t="s">
        <v>663</v>
      </c>
      <c r="C108" s="5" t="s">
        <v>1007</v>
      </c>
      <c r="D108" s="5" t="s">
        <v>836</v>
      </c>
      <c r="E108" s="5" t="s">
        <v>1027</v>
      </c>
    </row>
    <row r="109" customFormat="false" ht="15" hidden="false" customHeight="false" outlineLevel="0" collapsed="false">
      <c r="A109" s="5" t="s">
        <v>1020</v>
      </c>
      <c r="B109" s="5" t="s">
        <v>1028</v>
      </c>
      <c r="C109" s="5" t="s">
        <v>992</v>
      </c>
      <c r="D109" s="5" t="s">
        <v>836</v>
      </c>
      <c r="E109" s="5"/>
    </row>
    <row r="110" customFormat="false" ht="15" hidden="false" customHeight="false" outlineLevel="0" collapsed="false">
      <c r="A110" s="5" t="s">
        <v>1020</v>
      </c>
      <c r="B110" s="5" t="s">
        <v>345</v>
      </c>
      <c r="C110" s="5" t="s">
        <v>71</v>
      </c>
      <c r="D110" s="5" t="s">
        <v>836</v>
      </c>
      <c r="E110" s="5" t="s">
        <v>1029</v>
      </c>
    </row>
    <row r="111" customFormat="false" ht="15" hidden="false" customHeight="false" outlineLevel="0" collapsed="false">
      <c r="A111" s="5" t="s">
        <v>1020</v>
      </c>
      <c r="B111" s="5" t="s">
        <v>346</v>
      </c>
      <c r="C111" s="5" t="s">
        <v>71</v>
      </c>
      <c r="D111" s="5" t="s">
        <v>836</v>
      </c>
      <c r="E111" s="5" t="s">
        <v>1030</v>
      </c>
    </row>
    <row r="112" customFormat="false" ht="15" hidden="false" customHeight="false" outlineLevel="0" collapsed="false">
      <c r="A112" s="5" t="s">
        <v>1020</v>
      </c>
      <c r="B112" s="5" t="s">
        <v>1031</v>
      </c>
      <c r="C112" s="5" t="s">
        <v>142</v>
      </c>
      <c r="D112" s="5" t="s">
        <v>836</v>
      </c>
      <c r="E112" s="5"/>
    </row>
    <row r="113" customFormat="false" ht="15" hidden="false" customHeight="false" outlineLevel="0" collapsed="false">
      <c r="A113" s="5" t="s">
        <v>1020</v>
      </c>
      <c r="B113" s="5" t="s">
        <v>1032</v>
      </c>
      <c r="C113" s="5" t="s">
        <v>992</v>
      </c>
      <c r="D113" s="5" t="s">
        <v>836</v>
      </c>
      <c r="E113" s="5"/>
    </row>
    <row r="114" customFormat="false" ht="15" hidden="false" customHeight="false" outlineLevel="0" collapsed="false">
      <c r="A114" s="5" t="s">
        <v>1020</v>
      </c>
      <c r="B114" s="5" t="s">
        <v>659</v>
      </c>
      <c r="C114" s="5" t="s">
        <v>71</v>
      </c>
      <c r="D114" s="5" t="s">
        <v>812</v>
      </c>
      <c r="E114" s="5" t="s">
        <v>1033</v>
      </c>
    </row>
    <row r="115" customFormat="false" ht="15" hidden="false" customHeight="false" outlineLevel="0" collapsed="false">
      <c r="A115" s="5" t="s">
        <v>1034</v>
      </c>
      <c r="B115" s="5" t="s">
        <v>1035</v>
      </c>
      <c r="C115" s="5" t="s">
        <v>71</v>
      </c>
      <c r="D115" s="5" t="s">
        <v>836</v>
      </c>
      <c r="E115" s="5" t="s">
        <v>1036</v>
      </c>
    </row>
    <row r="116" customFormat="false" ht="15" hidden="false" customHeight="false" outlineLevel="0" collapsed="false">
      <c r="A116" s="5" t="s">
        <v>1034</v>
      </c>
      <c r="B116" s="5" t="s">
        <v>341</v>
      </c>
      <c r="C116" s="5" t="s">
        <v>71</v>
      </c>
      <c r="D116" s="5" t="s">
        <v>836</v>
      </c>
      <c r="E116" s="5" t="s">
        <v>1037</v>
      </c>
    </row>
    <row r="117" customFormat="false" ht="15" hidden="false" customHeight="false" outlineLevel="0" collapsed="false">
      <c r="A117" s="5" t="s">
        <v>1034</v>
      </c>
      <c r="B117" s="5" t="s">
        <v>659</v>
      </c>
      <c r="C117" s="5" t="s">
        <v>71</v>
      </c>
      <c r="D117" s="5" t="s">
        <v>836</v>
      </c>
      <c r="E117" s="5" t="s">
        <v>1038</v>
      </c>
    </row>
    <row r="118" customFormat="false" ht="15" hidden="false" customHeight="false" outlineLevel="0" collapsed="false">
      <c r="A118" s="5" t="s">
        <v>1039</v>
      </c>
      <c r="B118" s="5" t="s">
        <v>1040</v>
      </c>
      <c r="C118" s="5" t="s">
        <v>992</v>
      </c>
      <c r="D118" s="5" t="s">
        <v>808</v>
      </c>
      <c r="E118" s="5"/>
    </row>
    <row r="119" customFormat="false" ht="15" hidden="false" customHeight="false" outlineLevel="0" collapsed="false">
      <c r="A119" s="5" t="s">
        <v>1039</v>
      </c>
      <c r="B119" s="5" t="s">
        <v>1041</v>
      </c>
      <c r="C119" s="5" t="s">
        <v>142</v>
      </c>
      <c r="D119" s="5" t="s">
        <v>808</v>
      </c>
      <c r="E119" s="5"/>
    </row>
    <row r="120" customFormat="false" ht="15" hidden="false" customHeight="false" outlineLevel="0" collapsed="false">
      <c r="A120" s="5" t="s">
        <v>1039</v>
      </c>
      <c r="B120" s="5" t="s">
        <v>985</v>
      </c>
      <c r="C120" s="5" t="s">
        <v>71</v>
      </c>
      <c r="D120" s="5" t="s">
        <v>808</v>
      </c>
      <c r="E120" s="5"/>
    </row>
    <row r="121" customFormat="false" ht="15" hidden="false" customHeight="false" outlineLevel="0" collapsed="false">
      <c r="A121" s="5" t="s">
        <v>1039</v>
      </c>
      <c r="B121" s="5" t="s">
        <v>1042</v>
      </c>
      <c r="C121" s="5" t="s">
        <v>71</v>
      </c>
      <c r="D121" s="5" t="s">
        <v>808</v>
      </c>
      <c r="E121" s="5" t="s">
        <v>1043</v>
      </c>
    </row>
    <row r="122" customFormat="false" ht="15" hidden="false" customHeight="false" outlineLevel="0" collapsed="false">
      <c r="A122" s="5" t="s">
        <v>1039</v>
      </c>
      <c r="B122" s="5" t="s">
        <v>1044</v>
      </c>
      <c r="C122" s="5" t="s">
        <v>71</v>
      </c>
      <c r="D122" s="5" t="s">
        <v>808</v>
      </c>
      <c r="E122" s="5"/>
    </row>
  </sheetData>
  <autoFilter ref="A1:E1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0"/>
    <col collapsed="false" customWidth="true" hidden="false" outlineLevel="0" max="4" min="4" style="0" width="40"/>
    <col collapsed="false" customWidth="true" hidden="false" outlineLevel="0" max="5" min="5" style="0" width="50"/>
    <col collapsed="false" customWidth="true" hidden="false" outlineLevel="0" max="6" min="6" style="0" width="60"/>
  </cols>
  <sheetData>
    <row r="1" customFormat="false" ht="30" hidden="false" customHeight="true" outlineLevel="0" collapsed="false">
      <c r="A1" s="4" t="s">
        <v>1045</v>
      </c>
      <c r="B1" s="4" t="s">
        <v>1046</v>
      </c>
      <c r="C1" s="4" t="s">
        <v>346</v>
      </c>
      <c r="D1" s="4" t="s">
        <v>1047</v>
      </c>
      <c r="E1" s="4" t="s">
        <v>1048</v>
      </c>
      <c r="F1" s="4" t="s">
        <v>7</v>
      </c>
    </row>
    <row r="2" customFormat="false" ht="15" hidden="false" customHeight="false" outlineLevel="0" collapsed="false">
      <c r="A2" s="5" t="s">
        <v>1049</v>
      </c>
      <c r="B2" s="5" t="s">
        <v>1050</v>
      </c>
      <c r="C2" s="5" t="s">
        <v>808</v>
      </c>
      <c r="D2" s="5" t="s">
        <v>912</v>
      </c>
      <c r="E2" s="5" t="s">
        <v>1051</v>
      </c>
      <c r="F2" s="5" t="s">
        <v>1052</v>
      </c>
    </row>
    <row r="3" customFormat="false" ht="23.85" hidden="false" customHeight="false" outlineLevel="0" collapsed="false">
      <c r="A3" s="5" t="s">
        <v>1053</v>
      </c>
      <c r="B3" s="5" t="s">
        <v>1050</v>
      </c>
      <c r="C3" s="5" t="s">
        <v>812</v>
      </c>
      <c r="D3" s="5" t="s">
        <v>1054</v>
      </c>
      <c r="E3" s="5" t="s">
        <v>1055</v>
      </c>
      <c r="F3" s="5" t="s">
        <v>1056</v>
      </c>
    </row>
    <row r="4" customFormat="false" ht="23.85" hidden="false" customHeight="false" outlineLevel="0" collapsed="false">
      <c r="A4" s="5" t="s">
        <v>1057</v>
      </c>
      <c r="B4" s="5" t="s">
        <v>1050</v>
      </c>
      <c r="C4" s="5" t="s">
        <v>808</v>
      </c>
      <c r="D4" s="5" t="s">
        <v>1058</v>
      </c>
      <c r="E4" s="5" t="s">
        <v>1059</v>
      </c>
      <c r="F4" s="5" t="s">
        <v>1060</v>
      </c>
    </row>
    <row r="5" customFormat="false" ht="15" hidden="false" customHeight="false" outlineLevel="0" collapsed="false">
      <c r="A5" s="5" t="s">
        <v>1061</v>
      </c>
      <c r="B5" s="5" t="s">
        <v>1050</v>
      </c>
      <c r="C5" s="5" t="s">
        <v>808</v>
      </c>
      <c r="D5" s="5" t="s">
        <v>1062</v>
      </c>
      <c r="E5" s="5" t="s">
        <v>1063</v>
      </c>
      <c r="F5" s="5" t="s">
        <v>1064</v>
      </c>
    </row>
    <row r="6" customFormat="false" ht="15" hidden="false" customHeight="false" outlineLevel="0" collapsed="false">
      <c r="A6" s="5" t="s">
        <v>940</v>
      </c>
      <c r="B6" s="5" t="s">
        <v>1050</v>
      </c>
      <c r="C6" s="5" t="s">
        <v>812</v>
      </c>
      <c r="D6" s="5" t="s">
        <v>1065</v>
      </c>
      <c r="E6" s="5" t="s">
        <v>1066</v>
      </c>
      <c r="F6" s="5" t="s">
        <v>1067</v>
      </c>
    </row>
    <row r="7" customFormat="false" ht="15" hidden="false" customHeight="false" outlineLevel="0" collapsed="false">
      <c r="A7" s="5" t="s">
        <v>1068</v>
      </c>
      <c r="B7" s="5" t="s">
        <v>1050</v>
      </c>
      <c r="C7" s="5" t="s">
        <v>812</v>
      </c>
      <c r="D7" s="5" t="s">
        <v>1069</v>
      </c>
      <c r="E7" s="5" t="s">
        <v>1070</v>
      </c>
      <c r="F7" s="5" t="s">
        <v>1071</v>
      </c>
    </row>
    <row r="8" customFormat="false" ht="15" hidden="false" customHeight="false" outlineLevel="0" collapsed="false">
      <c r="A8" s="5" t="s">
        <v>1072</v>
      </c>
      <c r="B8" s="5" t="s">
        <v>1050</v>
      </c>
      <c r="C8" s="5" t="s">
        <v>808</v>
      </c>
      <c r="D8" s="5" t="s">
        <v>1073</v>
      </c>
      <c r="E8" s="5" t="s">
        <v>1074</v>
      </c>
      <c r="F8" s="5" t="s">
        <v>1075</v>
      </c>
    </row>
    <row r="9" customFormat="false" ht="23.85" hidden="false" customHeight="false" outlineLevel="0" collapsed="false">
      <c r="A9" s="5" t="s">
        <v>1076</v>
      </c>
      <c r="B9" s="5" t="s">
        <v>1050</v>
      </c>
      <c r="C9" s="5" t="s">
        <v>808</v>
      </c>
      <c r="D9" s="5" t="s">
        <v>1077</v>
      </c>
      <c r="E9" s="5" t="s">
        <v>1078</v>
      </c>
      <c r="F9" s="5" t="s">
        <v>1079</v>
      </c>
    </row>
    <row r="10" customFormat="false" ht="15" hidden="false" customHeight="false" outlineLevel="0" collapsed="false">
      <c r="A10" s="5" t="s">
        <v>1080</v>
      </c>
      <c r="B10" s="5" t="s">
        <v>1050</v>
      </c>
      <c r="C10" s="5" t="s">
        <v>808</v>
      </c>
      <c r="D10" s="5" t="s">
        <v>1081</v>
      </c>
      <c r="E10" s="5" t="s">
        <v>1082</v>
      </c>
      <c r="F10" s="5" t="s">
        <v>1083</v>
      </c>
    </row>
    <row r="11" customFormat="false" ht="23.85" hidden="false" customHeight="false" outlineLevel="0" collapsed="false">
      <c r="A11" s="5" t="s">
        <v>953</v>
      </c>
      <c r="B11" s="5" t="s">
        <v>1050</v>
      </c>
      <c r="C11" s="5" t="s">
        <v>812</v>
      </c>
      <c r="D11" s="5" t="s">
        <v>1062</v>
      </c>
      <c r="E11" s="5" t="s">
        <v>1084</v>
      </c>
      <c r="F11" s="5" t="s">
        <v>1085</v>
      </c>
    </row>
    <row r="12" customFormat="false" ht="23.85" hidden="false" customHeight="false" outlineLevel="0" collapsed="false">
      <c r="A12" s="5" t="s">
        <v>958</v>
      </c>
      <c r="B12" s="5" t="s">
        <v>1050</v>
      </c>
      <c r="C12" s="5" t="s">
        <v>812</v>
      </c>
      <c r="D12" s="5" t="s">
        <v>1086</v>
      </c>
      <c r="E12" s="5" t="s">
        <v>1074</v>
      </c>
      <c r="F12" s="5" t="s">
        <v>1087</v>
      </c>
    </row>
    <row r="13" customFormat="false" ht="15" hidden="false" customHeight="false" outlineLevel="0" collapsed="false">
      <c r="A13" s="5" t="s">
        <v>961</v>
      </c>
      <c r="B13" s="5" t="s">
        <v>1050</v>
      </c>
      <c r="C13" s="5" t="s">
        <v>812</v>
      </c>
      <c r="D13" s="5" t="s">
        <v>1088</v>
      </c>
      <c r="E13" s="5" t="s">
        <v>1089</v>
      </c>
      <c r="F13" s="5" t="s">
        <v>1090</v>
      </c>
    </row>
    <row r="14" customFormat="false" ht="15" hidden="false" customHeight="false" outlineLevel="0" collapsed="false">
      <c r="A14" s="5" t="s">
        <v>981</v>
      </c>
      <c r="B14" s="5" t="s">
        <v>1050</v>
      </c>
      <c r="C14" s="5" t="s">
        <v>836</v>
      </c>
      <c r="D14" s="5" t="s">
        <v>912</v>
      </c>
      <c r="E14" s="5" t="s">
        <v>1091</v>
      </c>
      <c r="F14" s="5" t="s">
        <v>1092</v>
      </c>
    </row>
    <row r="15" customFormat="false" ht="15" hidden="false" customHeight="false" outlineLevel="0" collapsed="false">
      <c r="A15" s="5" t="s">
        <v>1093</v>
      </c>
      <c r="B15" s="5" t="s">
        <v>1050</v>
      </c>
      <c r="C15" s="5" t="s">
        <v>836</v>
      </c>
      <c r="D15" s="5" t="s">
        <v>1094</v>
      </c>
      <c r="E15" s="5" t="s">
        <v>1095</v>
      </c>
      <c r="F15" s="5" t="s">
        <v>1096</v>
      </c>
    </row>
    <row r="16" customFormat="false" ht="15" hidden="false" customHeight="false" outlineLevel="0" collapsed="false">
      <c r="A16" s="5" t="s">
        <v>1097</v>
      </c>
      <c r="B16" s="5" t="s">
        <v>1050</v>
      </c>
      <c r="C16" s="5" t="s">
        <v>836</v>
      </c>
      <c r="D16" s="5" t="s">
        <v>1098</v>
      </c>
      <c r="E16" s="5" t="s">
        <v>1099</v>
      </c>
      <c r="F16" s="5" t="s">
        <v>1100</v>
      </c>
    </row>
    <row r="17" customFormat="false" ht="23.85" hidden="false" customHeight="false" outlineLevel="0" collapsed="false">
      <c r="A17" s="5" t="s">
        <v>1101</v>
      </c>
      <c r="B17" s="5" t="s">
        <v>1102</v>
      </c>
      <c r="C17" s="5" t="s">
        <v>808</v>
      </c>
      <c r="D17" s="5" t="s">
        <v>1103</v>
      </c>
      <c r="E17" s="5" t="s">
        <v>912</v>
      </c>
      <c r="F17" s="5" t="s">
        <v>1104</v>
      </c>
    </row>
    <row r="18" customFormat="false" ht="23.85" hidden="false" customHeight="false" outlineLevel="0" collapsed="false">
      <c r="A18" s="5" t="s">
        <v>1105</v>
      </c>
      <c r="B18" s="5" t="s">
        <v>1106</v>
      </c>
      <c r="C18" s="5" t="s">
        <v>812</v>
      </c>
      <c r="D18" s="5" t="s">
        <v>912</v>
      </c>
      <c r="E18" s="5" t="s">
        <v>912</v>
      </c>
      <c r="F18" s="5" t="s">
        <v>1107</v>
      </c>
    </row>
    <row r="19" customFormat="false" ht="23.85" hidden="false" customHeight="false" outlineLevel="0" collapsed="false">
      <c r="A19" s="5" t="s">
        <v>1108</v>
      </c>
      <c r="B19" s="5" t="s">
        <v>1109</v>
      </c>
      <c r="C19" s="5" t="s">
        <v>836</v>
      </c>
      <c r="D19" s="5" t="s">
        <v>1110</v>
      </c>
      <c r="E19" s="5" t="s">
        <v>912</v>
      </c>
      <c r="F19" s="5" t="s">
        <v>1111</v>
      </c>
    </row>
    <row r="20" customFormat="false" ht="15" hidden="false" customHeight="false" outlineLevel="0" collapsed="false">
      <c r="A20" s="5" t="s">
        <v>1112</v>
      </c>
      <c r="B20" s="5" t="s">
        <v>1109</v>
      </c>
      <c r="C20" s="5" t="s">
        <v>836</v>
      </c>
      <c r="D20" s="5" t="s">
        <v>912</v>
      </c>
      <c r="E20" s="5" t="s">
        <v>1113</v>
      </c>
      <c r="F20" s="5" t="s">
        <v>1114</v>
      </c>
    </row>
    <row r="21" customFormat="false" ht="15" hidden="false" customHeight="false" outlineLevel="0" collapsed="false">
      <c r="A21" s="5" t="s">
        <v>1115</v>
      </c>
      <c r="B21" s="5" t="s">
        <v>1109</v>
      </c>
      <c r="C21" s="5" t="s">
        <v>836</v>
      </c>
      <c r="D21" s="5" t="s">
        <v>1116</v>
      </c>
      <c r="E21" s="5" t="s">
        <v>1117</v>
      </c>
      <c r="F21" s="5" t="s">
        <v>1118</v>
      </c>
    </row>
    <row r="22" customFormat="false" ht="15" hidden="false" customHeight="false" outlineLevel="0" collapsed="false">
      <c r="A22" s="5" t="s">
        <v>1119</v>
      </c>
      <c r="B22" s="5" t="s">
        <v>1109</v>
      </c>
      <c r="C22" s="5" t="s">
        <v>836</v>
      </c>
      <c r="D22" s="5" t="s">
        <v>912</v>
      </c>
      <c r="E22" s="5" t="s">
        <v>1120</v>
      </c>
      <c r="F22" s="5" t="s">
        <v>1121</v>
      </c>
    </row>
    <row r="23" customFormat="false" ht="15" hidden="false" customHeight="false" outlineLevel="0" collapsed="false">
      <c r="A23" s="5" t="s">
        <v>1122</v>
      </c>
      <c r="B23" s="5" t="s">
        <v>1109</v>
      </c>
      <c r="C23" s="5" t="s">
        <v>812</v>
      </c>
      <c r="D23" s="5" t="s">
        <v>1062</v>
      </c>
      <c r="E23" s="5" t="s">
        <v>1123</v>
      </c>
      <c r="F23" s="5" t="s">
        <v>1124</v>
      </c>
    </row>
    <row r="24" customFormat="false" ht="15" hidden="false" customHeight="false" outlineLevel="0" collapsed="false">
      <c r="A24" s="5" t="s">
        <v>1125</v>
      </c>
      <c r="B24" s="5" t="s">
        <v>1109</v>
      </c>
      <c r="C24" s="5" t="s">
        <v>812</v>
      </c>
      <c r="D24" s="5" t="s">
        <v>1126</v>
      </c>
      <c r="E24" s="5" t="s">
        <v>1127</v>
      </c>
      <c r="F24" s="5" t="s">
        <v>1128</v>
      </c>
    </row>
    <row r="25" customFormat="false" ht="15" hidden="false" customHeight="false" outlineLevel="0" collapsed="false">
      <c r="A25" s="5" t="s">
        <v>1129</v>
      </c>
      <c r="B25" s="5" t="s">
        <v>1109</v>
      </c>
      <c r="C25" s="5" t="s">
        <v>812</v>
      </c>
      <c r="D25" s="5" t="s">
        <v>1062</v>
      </c>
      <c r="E25" s="5" t="s">
        <v>997</v>
      </c>
      <c r="F25" s="5" t="s">
        <v>1130</v>
      </c>
    </row>
    <row r="26" customFormat="false" ht="23.85" hidden="false" customHeight="false" outlineLevel="0" collapsed="false">
      <c r="A26" s="5" t="s">
        <v>1131</v>
      </c>
      <c r="B26" s="5" t="s">
        <v>1109</v>
      </c>
      <c r="C26" s="5" t="s">
        <v>812</v>
      </c>
      <c r="D26" s="5" t="s">
        <v>912</v>
      </c>
      <c r="E26" s="5" t="s">
        <v>1132</v>
      </c>
      <c r="F26" s="5" t="s">
        <v>1133</v>
      </c>
    </row>
    <row r="27" customFormat="false" ht="15" hidden="false" customHeight="false" outlineLevel="0" collapsed="false">
      <c r="A27" s="5" t="s">
        <v>1134</v>
      </c>
      <c r="B27" s="5" t="s">
        <v>1109</v>
      </c>
      <c r="C27" s="5" t="s">
        <v>808</v>
      </c>
      <c r="D27" s="5" t="s">
        <v>142</v>
      </c>
      <c r="E27" s="5" t="s">
        <v>1135</v>
      </c>
      <c r="F27" s="5" t="s">
        <v>1136</v>
      </c>
    </row>
    <row r="28" customFormat="false" ht="15" hidden="false" customHeight="false" outlineLevel="0" collapsed="false">
      <c r="A28" s="5" t="s">
        <v>1137</v>
      </c>
      <c r="B28" s="5" t="s">
        <v>1109</v>
      </c>
      <c r="C28" s="5" t="s">
        <v>808</v>
      </c>
      <c r="D28" s="5" t="s">
        <v>1138</v>
      </c>
      <c r="E28" s="5" t="s">
        <v>1139</v>
      </c>
      <c r="F28" s="5" t="s">
        <v>1140</v>
      </c>
    </row>
    <row r="29" customFormat="false" ht="23.85" hidden="false" customHeight="false" outlineLevel="0" collapsed="false">
      <c r="A29" s="5" t="s">
        <v>1141</v>
      </c>
      <c r="B29" s="5" t="s">
        <v>1109</v>
      </c>
      <c r="C29" s="5" t="s">
        <v>808</v>
      </c>
      <c r="D29" s="5" t="s">
        <v>1142</v>
      </c>
      <c r="E29" s="5" t="s">
        <v>1142</v>
      </c>
      <c r="F29" s="5" t="s">
        <v>1143</v>
      </c>
    </row>
    <row r="30" customFormat="false" ht="15" hidden="false" customHeight="false" outlineLevel="0" collapsed="false">
      <c r="A30" s="5" t="s">
        <v>1144</v>
      </c>
      <c r="B30" s="5" t="s">
        <v>1109</v>
      </c>
      <c r="C30" s="5" t="s">
        <v>808</v>
      </c>
      <c r="D30" s="5" t="s">
        <v>1145</v>
      </c>
      <c r="E30" s="5" t="s">
        <v>71</v>
      </c>
      <c r="F30" s="5" t="s">
        <v>1146</v>
      </c>
    </row>
    <row r="31" customFormat="false" ht="15" hidden="false" customHeight="false" outlineLevel="0" collapsed="false">
      <c r="A31" s="5" t="s">
        <v>1147</v>
      </c>
      <c r="B31" s="5" t="s">
        <v>1109</v>
      </c>
      <c r="C31" s="5" t="s">
        <v>808</v>
      </c>
      <c r="D31" s="5" t="s">
        <v>1148</v>
      </c>
      <c r="E31" s="5" t="s">
        <v>1149</v>
      </c>
      <c r="F31" s="5" t="s">
        <v>1150</v>
      </c>
    </row>
    <row r="32" customFormat="false" ht="15" hidden="false" customHeight="false" outlineLevel="0" collapsed="false">
      <c r="A32" s="5" t="s">
        <v>1151</v>
      </c>
      <c r="B32" s="5" t="s">
        <v>1109</v>
      </c>
      <c r="C32" s="5" t="s">
        <v>808</v>
      </c>
      <c r="D32" s="5" t="s">
        <v>1062</v>
      </c>
      <c r="E32" s="5" t="s">
        <v>1152</v>
      </c>
      <c r="F32" s="5" t="s">
        <v>1153</v>
      </c>
    </row>
    <row r="33" customFormat="false" ht="15" hidden="false" customHeight="false" outlineLevel="0" collapsed="false">
      <c r="A33" s="5" t="s">
        <v>1154</v>
      </c>
      <c r="B33" s="5" t="s">
        <v>1109</v>
      </c>
      <c r="C33" s="5" t="s">
        <v>808</v>
      </c>
      <c r="D33" s="5" t="s">
        <v>1155</v>
      </c>
      <c r="E33" s="5" t="s">
        <v>71</v>
      </c>
      <c r="F33" s="5" t="s">
        <v>1156</v>
      </c>
    </row>
    <row r="34" customFormat="false" ht="23.85" hidden="false" customHeight="false" outlineLevel="0" collapsed="false">
      <c r="A34" s="5" t="s">
        <v>1157</v>
      </c>
      <c r="B34" s="5" t="s">
        <v>1158</v>
      </c>
      <c r="C34" s="5" t="s">
        <v>812</v>
      </c>
      <c r="D34" s="5" t="s">
        <v>912</v>
      </c>
      <c r="E34" s="5" t="s">
        <v>912</v>
      </c>
      <c r="F34" s="5" t="s">
        <v>1159</v>
      </c>
    </row>
    <row r="35" customFormat="false" ht="23.85" hidden="false" customHeight="false" outlineLevel="0" collapsed="false">
      <c r="A35" s="5" t="s">
        <v>1160</v>
      </c>
      <c r="B35" s="5" t="s">
        <v>1158</v>
      </c>
      <c r="C35" s="5" t="s">
        <v>808</v>
      </c>
      <c r="D35" s="5" t="s">
        <v>912</v>
      </c>
      <c r="E35" s="5" t="s">
        <v>912</v>
      </c>
      <c r="F35" s="5" t="s">
        <v>1161</v>
      </c>
    </row>
  </sheetData>
  <autoFilter ref="A1:F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65"/>
    <col collapsed="false" customWidth="true" hidden="false" outlineLevel="0" max="4" min="4" style="0" width="11"/>
    <col collapsed="false" customWidth="true" hidden="false" outlineLevel="0" max="5" min="5" style="0" width="10"/>
    <col collapsed="false" customWidth="true" hidden="false" outlineLevel="0" max="6" min="6" style="0" width="75"/>
  </cols>
  <sheetData>
    <row r="1" customFormat="false" ht="30" hidden="false" customHeight="true" outlineLevel="0" collapsed="false">
      <c r="A1" s="4" t="s">
        <v>383</v>
      </c>
      <c r="B1" s="4" t="s">
        <v>345</v>
      </c>
      <c r="C1" s="4" t="s">
        <v>1162</v>
      </c>
      <c r="D1" s="4" t="s">
        <v>749</v>
      </c>
      <c r="E1" s="4" t="s">
        <v>1163</v>
      </c>
      <c r="F1" s="4" t="s">
        <v>748</v>
      </c>
    </row>
    <row r="2" customFormat="false" ht="23.85" hidden="false" customHeight="false" outlineLevel="0" collapsed="false">
      <c r="A2" s="5" t="s">
        <v>1164</v>
      </c>
      <c r="B2" s="5" t="s">
        <v>1165</v>
      </c>
      <c r="C2" s="5" t="s">
        <v>1166</v>
      </c>
      <c r="D2" s="5" t="s">
        <v>753</v>
      </c>
      <c r="E2" s="5" t="s">
        <v>1167</v>
      </c>
      <c r="F2" s="5" t="s">
        <v>1168</v>
      </c>
    </row>
    <row r="3" customFormat="false" ht="23.85" hidden="false" customHeight="false" outlineLevel="0" collapsed="false">
      <c r="A3" s="5" t="s">
        <v>1169</v>
      </c>
      <c r="B3" s="5" t="s">
        <v>1170</v>
      </c>
      <c r="C3" s="5" t="s">
        <v>1171</v>
      </c>
      <c r="D3" s="5" t="s">
        <v>753</v>
      </c>
      <c r="E3" s="5" t="s">
        <v>1172</v>
      </c>
      <c r="F3" s="5" t="s">
        <v>1173</v>
      </c>
    </row>
    <row r="4" customFormat="false" ht="23.85" hidden="false" customHeight="false" outlineLevel="0" collapsed="false">
      <c r="A4" s="5" t="s">
        <v>1174</v>
      </c>
      <c r="B4" s="5" t="s">
        <v>1175</v>
      </c>
      <c r="C4" s="5" t="s">
        <v>1176</v>
      </c>
      <c r="D4" s="5" t="s">
        <v>753</v>
      </c>
      <c r="E4" s="5" t="s">
        <v>1172</v>
      </c>
      <c r="F4" s="5" t="s">
        <v>1177</v>
      </c>
    </row>
    <row r="5" customFormat="false" ht="23.85" hidden="false" customHeight="false" outlineLevel="0" collapsed="false">
      <c r="A5" s="5" t="s">
        <v>1178</v>
      </c>
      <c r="B5" s="5" t="s">
        <v>1179</v>
      </c>
      <c r="C5" s="5" t="s">
        <v>1180</v>
      </c>
      <c r="D5" s="5" t="s">
        <v>753</v>
      </c>
      <c r="E5" s="5" t="s">
        <v>1167</v>
      </c>
      <c r="F5" s="5" t="s">
        <v>1181</v>
      </c>
    </row>
    <row r="6" customFormat="false" ht="15" hidden="false" customHeight="false" outlineLevel="0" collapsed="false">
      <c r="A6" s="5" t="s">
        <v>1182</v>
      </c>
      <c r="B6" s="5" t="s">
        <v>1183</v>
      </c>
      <c r="C6" s="5" t="s">
        <v>1184</v>
      </c>
      <c r="D6" s="5" t="s">
        <v>753</v>
      </c>
      <c r="E6" s="5" t="s">
        <v>1172</v>
      </c>
      <c r="F6" s="5" t="s">
        <v>1185</v>
      </c>
    </row>
    <row r="7" customFormat="false" ht="23.85" hidden="false" customHeight="false" outlineLevel="0" collapsed="false">
      <c r="A7" s="5" t="s">
        <v>1186</v>
      </c>
      <c r="B7" s="5" t="s">
        <v>1187</v>
      </c>
      <c r="C7" s="5" t="s">
        <v>1188</v>
      </c>
      <c r="D7" s="5" t="s">
        <v>753</v>
      </c>
      <c r="E7" s="5" t="s">
        <v>1172</v>
      </c>
      <c r="F7" s="5" t="s">
        <v>1189</v>
      </c>
    </row>
    <row r="8" customFormat="false" ht="15" hidden="false" customHeight="false" outlineLevel="0" collapsed="false">
      <c r="A8" s="5" t="s">
        <v>1190</v>
      </c>
      <c r="B8" s="5" t="s">
        <v>1191</v>
      </c>
      <c r="C8" s="5" t="s">
        <v>1192</v>
      </c>
      <c r="D8" s="5" t="s">
        <v>772</v>
      </c>
      <c r="E8" s="5" t="s">
        <v>1172</v>
      </c>
      <c r="F8" s="5" t="s">
        <v>1193</v>
      </c>
    </row>
    <row r="9" customFormat="false" ht="23.85" hidden="false" customHeight="false" outlineLevel="0" collapsed="false">
      <c r="A9" s="5" t="s">
        <v>1194</v>
      </c>
      <c r="B9" s="5" t="s">
        <v>1195</v>
      </c>
      <c r="C9" s="5" t="s">
        <v>1196</v>
      </c>
      <c r="D9" s="5" t="s">
        <v>772</v>
      </c>
      <c r="E9" s="5" t="s">
        <v>1167</v>
      </c>
      <c r="F9" s="5" t="s">
        <v>1197</v>
      </c>
    </row>
    <row r="10" customFormat="false" ht="23.85" hidden="false" customHeight="false" outlineLevel="0" collapsed="false">
      <c r="A10" s="5" t="s">
        <v>1198</v>
      </c>
      <c r="B10" s="5" t="s">
        <v>1199</v>
      </c>
      <c r="C10" s="5" t="s">
        <v>1200</v>
      </c>
      <c r="D10" s="5" t="s">
        <v>772</v>
      </c>
      <c r="E10" s="5" t="s">
        <v>1172</v>
      </c>
      <c r="F10" s="5" t="s">
        <v>1201</v>
      </c>
    </row>
    <row r="11" customFormat="false" ht="15" hidden="false" customHeight="false" outlineLevel="0" collapsed="false">
      <c r="A11" s="5" t="s">
        <v>1202</v>
      </c>
      <c r="B11" s="5" t="s">
        <v>1203</v>
      </c>
      <c r="C11" s="5" t="s">
        <v>1204</v>
      </c>
      <c r="D11" s="5" t="s">
        <v>772</v>
      </c>
      <c r="E11" s="5" t="s">
        <v>1172</v>
      </c>
      <c r="F11" s="5" t="s">
        <v>1205</v>
      </c>
    </row>
    <row r="12" customFormat="false" ht="15" hidden="false" customHeight="false" outlineLevel="0" collapsed="false">
      <c r="A12" s="5" t="s">
        <v>1206</v>
      </c>
      <c r="B12" s="5" t="s">
        <v>1207</v>
      </c>
      <c r="C12" s="5" t="s">
        <v>1208</v>
      </c>
      <c r="D12" s="5" t="s">
        <v>772</v>
      </c>
      <c r="E12" s="5" t="s">
        <v>1172</v>
      </c>
      <c r="F12" s="5" t="s">
        <v>1209</v>
      </c>
    </row>
    <row r="13" customFormat="false" ht="23.85" hidden="false" customHeight="false" outlineLevel="0" collapsed="false">
      <c r="A13" s="5" t="s">
        <v>1210</v>
      </c>
      <c r="B13" s="5" t="s">
        <v>1211</v>
      </c>
      <c r="C13" s="5" t="s">
        <v>1212</v>
      </c>
      <c r="D13" s="5" t="s">
        <v>772</v>
      </c>
      <c r="E13" s="5" t="s">
        <v>1172</v>
      </c>
      <c r="F13" s="5" t="s">
        <v>1213</v>
      </c>
    </row>
    <row r="14" customFormat="false" ht="15" hidden="false" customHeight="false" outlineLevel="0" collapsed="false">
      <c r="A14" s="5" t="s">
        <v>1214</v>
      </c>
      <c r="B14" s="5" t="s">
        <v>1215</v>
      </c>
      <c r="C14" s="5" t="s">
        <v>1216</v>
      </c>
      <c r="D14" s="5" t="s">
        <v>772</v>
      </c>
      <c r="E14" s="5" t="s">
        <v>1172</v>
      </c>
      <c r="F14" s="5" t="s">
        <v>1217</v>
      </c>
    </row>
    <row r="15" customFormat="false" ht="23.85" hidden="false" customHeight="false" outlineLevel="0" collapsed="false">
      <c r="A15" s="5" t="s">
        <v>1218</v>
      </c>
      <c r="B15" s="5" t="s">
        <v>1219</v>
      </c>
      <c r="C15" s="5" t="s">
        <v>1220</v>
      </c>
      <c r="D15" s="5" t="s">
        <v>791</v>
      </c>
      <c r="E15" s="5" t="s">
        <v>1172</v>
      </c>
      <c r="F15" s="5" t="s">
        <v>1221</v>
      </c>
    </row>
    <row r="16" customFormat="false" ht="15" hidden="false" customHeight="false" outlineLevel="0" collapsed="false">
      <c r="A16" s="5" t="s">
        <v>1222</v>
      </c>
      <c r="B16" s="5" t="s">
        <v>1223</v>
      </c>
      <c r="C16" s="5" t="s">
        <v>1224</v>
      </c>
      <c r="D16" s="5" t="s">
        <v>791</v>
      </c>
      <c r="E16" s="5" t="s">
        <v>1172</v>
      </c>
      <c r="F16" s="5" t="s">
        <v>1225</v>
      </c>
    </row>
    <row r="17" customFormat="false" ht="15" hidden="false" customHeight="false" outlineLevel="0" collapsed="false">
      <c r="A17" s="5" t="s">
        <v>1226</v>
      </c>
      <c r="B17" s="5" t="s">
        <v>1227</v>
      </c>
      <c r="C17" s="5" t="s">
        <v>1228</v>
      </c>
      <c r="D17" s="5" t="s">
        <v>791</v>
      </c>
      <c r="E17" s="5" t="s">
        <v>1172</v>
      </c>
      <c r="F17" s="5" t="s">
        <v>1229</v>
      </c>
    </row>
    <row r="18" customFormat="false" ht="23.85" hidden="false" customHeight="false" outlineLevel="0" collapsed="false">
      <c r="A18" s="5" t="s">
        <v>1230</v>
      </c>
      <c r="B18" s="5" t="s">
        <v>1231</v>
      </c>
      <c r="C18" s="5" t="s">
        <v>1232</v>
      </c>
      <c r="D18" s="5" t="s">
        <v>791</v>
      </c>
      <c r="E18" s="5" t="s">
        <v>1167</v>
      </c>
      <c r="F18" s="5" t="s">
        <v>1233</v>
      </c>
    </row>
    <row r="19" customFormat="false" ht="15" hidden="false" customHeight="false" outlineLevel="0" collapsed="false">
      <c r="A19" s="5" t="s">
        <v>1234</v>
      </c>
      <c r="B19" s="5" t="s">
        <v>1235</v>
      </c>
      <c r="C19" s="5" t="s">
        <v>1236</v>
      </c>
      <c r="D19" s="5" t="s">
        <v>753</v>
      </c>
      <c r="E19" s="5" t="s">
        <v>1167</v>
      </c>
      <c r="F19" s="5" t="s">
        <v>1237</v>
      </c>
    </row>
    <row r="20" customFormat="false" ht="23.85" hidden="false" customHeight="false" outlineLevel="0" collapsed="false">
      <c r="A20" s="5" t="s">
        <v>1238</v>
      </c>
      <c r="B20" s="5" t="s">
        <v>1235</v>
      </c>
      <c r="C20" s="5" t="s">
        <v>1239</v>
      </c>
      <c r="D20" s="5" t="s">
        <v>753</v>
      </c>
      <c r="E20" s="5" t="s">
        <v>1167</v>
      </c>
      <c r="F20" s="5" t="s">
        <v>1240</v>
      </c>
    </row>
    <row r="21" customFormat="false" ht="15" hidden="false" customHeight="false" outlineLevel="0" collapsed="false">
      <c r="A21" s="5" t="s">
        <v>1241</v>
      </c>
      <c r="B21" s="5" t="s">
        <v>1235</v>
      </c>
      <c r="C21" s="5" t="s">
        <v>1242</v>
      </c>
      <c r="D21" s="5" t="s">
        <v>753</v>
      </c>
      <c r="E21" s="5" t="s">
        <v>1167</v>
      </c>
      <c r="F21" s="5" t="s">
        <v>1243</v>
      </c>
    </row>
    <row r="22" customFormat="false" ht="15" hidden="false" customHeight="false" outlineLevel="0" collapsed="false">
      <c r="A22" s="5" t="s">
        <v>1244</v>
      </c>
      <c r="B22" s="5" t="s">
        <v>1235</v>
      </c>
      <c r="C22" s="5" t="s">
        <v>1245</v>
      </c>
      <c r="D22" s="5" t="s">
        <v>753</v>
      </c>
      <c r="E22" s="5" t="s">
        <v>1172</v>
      </c>
      <c r="F22" s="5" t="s">
        <v>1246</v>
      </c>
    </row>
    <row r="23" customFormat="false" ht="15" hidden="false" customHeight="false" outlineLevel="0" collapsed="false">
      <c r="A23" s="5" t="s">
        <v>1247</v>
      </c>
      <c r="B23" s="5" t="s">
        <v>1235</v>
      </c>
      <c r="C23" s="5" t="s">
        <v>1248</v>
      </c>
      <c r="D23" s="5" t="s">
        <v>772</v>
      </c>
      <c r="E23" s="5" t="s">
        <v>1167</v>
      </c>
      <c r="F23" s="5" t="s">
        <v>1249</v>
      </c>
    </row>
    <row r="24" customFormat="false" ht="15" hidden="false" customHeight="false" outlineLevel="0" collapsed="false">
      <c r="A24" s="5" t="s">
        <v>1250</v>
      </c>
      <c r="B24" s="5" t="s">
        <v>1235</v>
      </c>
      <c r="C24" s="5" t="s">
        <v>1251</v>
      </c>
      <c r="D24" s="5" t="s">
        <v>772</v>
      </c>
      <c r="E24" s="5" t="s">
        <v>1167</v>
      </c>
      <c r="F24" s="5" t="s">
        <v>1252</v>
      </c>
    </row>
    <row r="25" customFormat="false" ht="15" hidden="false" customHeight="false" outlineLevel="0" collapsed="false">
      <c r="A25" s="5" t="s">
        <v>1253</v>
      </c>
      <c r="B25" s="5" t="s">
        <v>1235</v>
      </c>
      <c r="C25" s="5" t="s">
        <v>1254</v>
      </c>
      <c r="D25" s="5" t="s">
        <v>772</v>
      </c>
      <c r="E25" s="5" t="s">
        <v>1172</v>
      </c>
      <c r="F25" s="5" t="s">
        <v>1255</v>
      </c>
    </row>
    <row r="26" customFormat="false" ht="15" hidden="false" customHeight="false" outlineLevel="0" collapsed="false">
      <c r="A26" s="5" t="s">
        <v>1256</v>
      </c>
      <c r="B26" s="5" t="s">
        <v>1235</v>
      </c>
      <c r="C26" s="5" t="s">
        <v>1257</v>
      </c>
      <c r="D26" s="5" t="s">
        <v>791</v>
      </c>
      <c r="E26" s="5" t="s">
        <v>1167</v>
      </c>
      <c r="F26" s="5" t="s">
        <v>1258</v>
      </c>
    </row>
    <row r="27" customFormat="false" ht="23.85" hidden="false" customHeight="false" outlineLevel="0" collapsed="false">
      <c r="A27" s="5" t="s">
        <v>1259</v>
      </c>
      <c r="B27" s="5" t="s">
        <v>1260</v>
      </c>
      <c r="C27" s="5" t="s">
        <v>1261</v>
      </c>
      <c r="D27" s="5" t="s">
        <v>753</v>
      </c>
      <c r="E27" s="5" t="s">
        <v>1172</v>
      </c>
      <c r="F27" s="5" t="s">
        <v>1262</v>
      </c>
    </row>
    <row r="28" customFormat="false" ht="15" hidden="false" customHeight="false" outlineLevel="0" collapsed="false">
      <c r="A28" s="5" t="s">
        <v>1263</v>
      </c>
      <c r="B28" s="5" t="s">
        <v>1260</v>
      </c>
      <c r="C28" s="5" t="s">
        <v>1264</v>
      </c>
      <c r="D28" s="5" t="s">
        <v>753</v>
      </c>
      <c r="E28" s="5" t="s">
        <v>1172</v>
      </c>
      <c r="F28" s="5" t="s">
        <v>1265</v>
      </c>
    </row>
    <row r="29" customFormat="false" ht="15" hidden="false" customHeight="false" outlineLevel="0" collapsed="false">
      <c r="A29" s="5" t="s">
        <v>1266</v>
      </c>
      <c r="B29" s="5" t="s">
        <v>1260</v>
      </c>
      <c r="C29" s="5" t="s">
        <v>1267</v>
      </c>
      <c r="D29" s="5" t="s">
        <v>772</v>
      </c>
      <c r="E29" s="5" t="s">
        <v>1172</v>
      </c>
      <c r="F29" s="5" t="s">
        <v>1268</v>
      </c>
    </row>
    <row r="30" customFormat="false" ht="15" hidden="false" customHeight="false" outlineLevel="0" collapsed="false">
      <c r="A30" s="5" t="s">
        <v>1269</v>
      </c>
      <c r="B30" s="5" t="s">
        <v>1260</v>
      </c>
      <c r="C30" s="5" t="s">
        <v>1270</v>
      </c>
      <c r="D30" s="5" t="s">
        <v>772</v>
      </c>
      <c r="E30" s="5" t="s">
        <v>1172</v>
      </c>
      <c r="F30" s="5" t="s">
        <v>1271</v>
      </c>
    </row>
    <row r="31" customFormat="false" ht="15" hidden="false" customHeight="false" outlineLevel="0" collapsed="false">
      <c r="A31" s="5" t="s">
        <v>1272</v>
      </c>
      <c r="B31" s="5" t="s">
        <v>1260</v>
      </c>
      <c r="C31" s="5" t="s">
        <v>1273</v>
      </c>
      <c r="D31" s="5" t="s">
        <v>753</v>
      </c>
      <c r="E31" s="5" t="s">
        <v>1172</v>
      </c>
      <c r="F31" s="5" t="s">
        <v>1274</v>
      </c>
    </row>
    <row r="32" customFormat="false" ht="23.85" hidden="false" customHeight="false" outlineLevel="0" collapsed="false">
      <c r="A32" s="5" t="s">
        <v>1275</v>
      </c>
      <c r="B32" s="5" t="s">
        <v>1276</v>
      </c>
      <c r="C32" s="5" t="s">
        <v>1277</v>
      </c>
      <c r="D32" s="5" t="s">
        <v>753</v>
      </c>
      <c r="E32" s="5" t="s">
        <v>1172</v>
      </c>
      <c r="F32" s="5" t="s">
        <v>1278</v>
      </c>
    </row>
    <row r="33" customFormat="false" ht="15" hidden="false" customHeight="false" outlineLevel="0" collapsed="false">
      <c r="A33" s="5" t="s">
        <v>1279</v>
      </c>
      <c r="B33" s="5" t="s">
        <v>1280</v>
      </c>
      <c r="C33" s="5" t="s">
        <v>1281</v>
      </c>
      <c r="D33" s="5" t="s">
        <v>772</v>
      </c>
      <c r="E33" s="5" t="s">
        <v>1172</v>
      </c>
      <c r="F33" s="5" t="s">
        <v>1282</v>
      </c>
    </row>
  </sheetData>
  <autoFilter ref="A1:F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90"/>
    <col collapsed="false" customWidth="true" hidden="false" outlineLevel="0" max="4" min="4" style="0" width="18"/>
    <col collapsed="false" customWidth="true" hidden="false" outlineLevel="0" max="5" min="5" style="0" width="10"/>
  </cols>
  <sheetData>
    <row r="1" customFormat="false" ht="30" hidden="false" customHeight="true" outlineLevel="0" collapsed="false">
      <c r="A1" s="4" t="s">
        <v>383</v>
      </c>
      <c r="B1" s="4" t="s">
        <v>1283</v>
      </c>
      <c r="C1" s="4" t="s">
        <v>1284</v>
      </c>
      <c r="D1" s="4" t="s">
        <v>322</v>
      </c>
      <c r="E1" s="4" t="s">
        <v>346</v>
      </c>
    </row>
    <row r="2" customFormat="false" ht="15" hidden="false" customHeight="false" outlineLevel="0" collapsed="false">
      <c r="A2" s="5" t="s">
        <v>1285</v>
      </c>
      <c r="B2" s="5" t="s">
        <v>1286</v>
      </c>
      <c r="C2" s="5" t="s">
        <v>1287</v>
      </c>
      <c r="D2" s="5" t="s">
        <v>1288</v>
      </c>
      <c r="E2" s="5" t="s">
        <v>1289</v>
      </c>
    </row>
    <row r="3" customFormat="false" ht="15" hidden="false" customHeight="false" outlineLevel="0" collapsed="false">
      <c r="A3" s="5" t="s">
        <v>1290</v>
      </c>
      <c r="B3" s="5" t="s">
        <v>1291</v>
      </c>
      <c r="C3" s="5" t="s">
        <v>1292</v>
      </c>
      <c r="D3" s="5" t="s">
        <v>1288</v>
      </c>
      <c r="E3" s="5" t="s">
        <v>1289</v>
      </c>
    </row>
    <row r="4" customFormat="false" ht="15" hidden="false" customHeight="false" outlineLevel="0" collapsed="false">
      <c r="A4" s="5" t="s">
        <v>1293</v>
      </c>
      <c r="B4" s="5" t="s">
        <v>1294</v>
      </c>
      <c r="C4" s="5" t="s">
        <v>1295</v>
      </c>
      <c r="D4" s="5" t="s">
        <v>1296</v>
      </c>
      <c r="E4" s="5" t="s">
        <v>1289</v>
      </c>
    </row>
    <row r="5" customFormat="false" ht="15" hidden="false" customHeight="false" outlineLevel="0" collapsed="false">
      <c r="A5" s="5" t="s">
        <v>1297</v>
      </c>
      <c r="B5" s="5" t="s">
        <v>1298</v>
      </c>
      <c r="C5" s="5" t="s">
        <v>1299</v>
      </c>
      <c r="D5" s="5" t="s">
        <v>1288</v>
      </c>
      <c r="E5" s="5" t="s">
        <v>1289</v>
      </c>
    </row>
    <row r="6" customFormat="false" ht="15" hidden="false" customHeight="false" outlineLevel="0" collapsed="false">
      <c r="A6" s="5" t="s">
        <v>1300</v>
      </c>
      <c r="B6" s="5" t="s">
        <v>1301</v>
      </c>
      <c r="C6" s="5" t="s">
        <v>1302</v>
      </c>
      <c r="D6" s="5" t="s">
        <v>1288</v>
      </c>
      <c r="E6" s="5" t="s">
        <v>1289</v>
      </c>
    </row>
    <row r="7" customFormat="false" ht="15" hidden="false" customHeight="false" outlineLevel="0" collapsed="false">
      <c r="A7" s="5" t="s">
        <v>1303</v>
      </c>
      <c r="B7" s="5" t="s">
        <v>1304</v>
      </c>
      <c r="C7" s="5" t="s">
        <v>1305</v>
      </c>
      <c r="D7" s="5" t="s">
        <v>1288</v>
      </c>
      <c r="E7" s="5" t="s">
        <v>1289</v>
      </c>
    </row>
    <row r="8" customFormat="false" ht="15" hidden="false" customHeight="false" outlineLevel="0" collapsed="false">
      <c r="A8" s="5" t="s">
        <v>1306</v>
      </c>
      <c r="B8" s="5" t="s">
        <v>1307</v>
      </c>
      <c r="C8" s="5" t="s">
        <v>1308</v>
      </c>
      <c r="D8" s="5" t="s">
        <v>1309</v>
      </c>
      <c r="E8" s="5" t="s">
        <v>1289</v>
      </c>
    </row>
    <row r="9" customFormat="false" ht="15" hidden="false" customHeight="false" outlineLevel="0" collapsed="false">
      <c r="A9" s="5" t="s">
        <v>1310</v>
      </c>
      <c r="B9" s="5" t="s">
        <v>1311</v>
      </c>
      <c r="C9" s="5" t="s">
        <v>1312</v>
      </c>
      <c r="D9" s="5" t="s">
        <v>1288</v>
      </c>
      <c r="E9" s="5" t="s">
        <v>1289</v>
      </c>
    </row>
    <row r="10" customFormat="false" ht="23.85" hidden="false" customHeight="false" outlineLevel="0" collapsed="false">
      <c r="A10" s="5" t="s">
        <v>1313</v>
      </c>
      <c r="B10" s="5" t="s">
        <v>721</v>
      </c>
      <c r="C10" s="5" t="s">
        <v>1314</v>
      </c>
      <c r="D10" s="5" t="s">
        <v>1309</v>
      </c>
      <c r="E10" s="5" t="s">
        <v>1289</v>
      </c>
    </row>
    <row r="11" customFormat="false" ht="15" hidden="false" customHeight="false" outlineLevel="0" collapsed="false">
      <c r="A11" s="5" t="s">
        <v>1315</v>
      </c>
      <c r="B11" s="5" t="s">
        <v>1316</v>
      </c>
      <c r="C11" s="5" t="s">
        <v>1317</v>
      </c>
      <c r="D11" s="5" t="s">
        <v>1288</v>
      </c>
      <c r="E11" s="5" t="s">
        <v>1289</v>
      </c>
    </row>
    <row r="12" customFormat="false" ht="15" hidden="false" customHeight="false" outlineLevel="0" collapsed="false">
      <c r="A12" s="5" t="s">
        <v>1318</v>
      </c>
      <c r="B12" s="5" t="s">
        <v>1319</v>
      </c>
      <c r="C12" s="5" t="s">
        <v>1320</v>
      </c>
      <c r="D12" s="5" t="s">
        <v>1321</v>
      </c>
      <c r="E12" s="5" t="s">
        <v>1289</v>
      </c>
    </row>
    <row r="13" customFormat="false" ht="15" hidden="false" customHeight="false" outlineLevel="0" collapsed="false">
      <c r="A13" s="5" t="s">
        <v>1322</v>
      </c>
      <c r="B13" s="5" t="s">
        <v>1323</v>
      </c>
      <c r="C13" s="5" t="s">
        <v>1324</v>
      </c>
      <c r="D13" s="5" t="s">
        <v>1288</v>
      </c>
      <c r="E13" s="5" t="s">
        <v>1289</v>
      </c>
    </row>
    <row r="14" customFormat="false" ht="15" hidden="false" customHeight="false" outlineLevel="0" collapsed="false">
      <c r="A14" s="5" t="s">
        <v>1325</v>
      </c>
      <c r="B14" s="5" t="s">
        <v>1326</v>
      </c>
      <c r="C14" s="5" t="s">
        <v>1327</v>
      </c>
      <c r="D14" s="5" t="s">
        <v>1288</v>
      </c>
      <c r="E14" s="5" t="s">
        <v>1289</v>
      </c>
    </row>
    <row r="15" customFormat="false" ht="15" hidden="false" customHeight="false" outlineLevel="0" collapsed="false">
      <c r="A15" s="5" t="s">
        <v>1328</v>
      </c>
      <c r="B15" s="5" t="s">
        <v>1329</v>
      </c>
      <c r="C15" s="5" t="s">
        <v>1330</v>
      </c>
      <c r="D15" s="5" t="s">
        <v>1309</v>
      </c>
      <c r="E15" s="5" t="s">
        <v>1289</v>
      </c>
    </row>
    <row r="16" customFormat="false" ht="15" hidden="false" customHeight="false" outlineLevel="0" collapsed="false">
      <c r="A16" s="5" t="s">
        <v>1331</v>
      </c>
      <c r="B16" s="5" t="s">
        <v>1332</v>
      </c>
      <c r="C16" s="5" t="s">
        <v>1333</v>
      </c>
      <c r="D16" s="5" t="s">
        <v>1288</v>
      </c>
      <c r="E16" s="5" t="s">
        <v>1289</v>
      </c>
    </row>
    <row r="17" customFormat="false" ht="15" hidden="false" customHeight="false" outlineLevel="0" collapsed="false">
      <c r="A17" s="5" t="s">
        <v>1334</v>
      </c>
      <c r="B17" s="5" t="s">
        <v>1335</v>
      </c>
      <c r="C17" s="5" t="s">
        <v>1336</v>
      </c>
      <c r="D17" s="5" t="s">
        <v>1288</v>
      </c>
      <c r="E17" s="5" t="s">
        <v>1289</v>
      </c>
    </row>
    <row r="18" customFormat="false" ht="15" hidden="false" customHeight="false" outlineLevel="0" collapsed="false">
      <c r="A18" s="5" t="s">
        <v>1337</v>
      </c>
      <c r="B18" s="5" t="s">
        <v>1338</v>
      </c>
      <c r="C18" s="5" t="s">
        <v>1339</v>
      </c>
      <c r="D18" s="5" t="s">
        <v>1321</v>
      </c>
      <c r="E18" s="5" t="s">
        <v>1289</v>
      </c>
    </row>
  </sheetData>
  <autoFilter ref="A1:E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2026-10-21T13:06:51Z</dcterms:created>
  <dc:creator>openpyxl</dc:creator>
  <dc:description/>
  <dc:language>en-US</dc:language>
  <cp:lastModifiedBy/>
  <dcterms:modified xsi:type="dcterms:W3CDTF">2026-10-21T13:06:51Z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